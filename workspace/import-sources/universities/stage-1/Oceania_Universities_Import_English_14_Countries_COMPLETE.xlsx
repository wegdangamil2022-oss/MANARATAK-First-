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27f97414494b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ceania Universities" sheetId="1" r:id="R69b86a4495a84ebc"/>
    <x:sheet xmlns:r="http://schemas.openxmlformats.org/officeDocument/2006/relationships" name="Oceania Country Plan" sheetId="2" r:id="R1560a75012dd44d4"/>
    <x:sheet xmlns:r="http://schemas.openxmlformats.org/officeDocument/2006/relationships" name="Coverage Notes" sheetId="3" r:id="R3cecf1efbd544b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4343A"/>
      <x:name val="Carlito"/>
    </x:font>
    <x:font>
      <x:b/>
      <x:sz val="10"/>
      <x:color rgb="FFFFFFFF"/>
      <x:name val="Carlito"/>
    </x:font>
    <x:font>
      <x:sz val="10"/>
      <x:color rgb="FF24343A"/>
      <x:name val="Carlito"/>
    </x:font>
    <x:font>
      <x:b/>
      <x:sz val="17"/>
      <x:color rgb="FFFFFFFF"/>
      <x:name val="Carlito"/>
    </x:font>
    <x:font>
      <x:sz val="11"/>
      <x:color rgb="FF24343A"/>
      <x:name val="Carlito"/>
    </x:font>
    <x:font>
      <x:b/>
      <x:sz val="14"/>
      <x:color rgb="FF083844"/>
      <x:name val="Carlito"/>
    </x:font>
    <x:font>
      <x:b/>
      <x:sz val="10"/>
      <x:color rgb="FF24343A"/>
      <x:name val="Carlito"/>
    </x:font>
    <x:font>
      <x:b/>
      <x:sz val="13"/>
      <x:color rgb="FF083844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83844"/>
      </x:patternFill>
    </x:fill>
    <x:fill>
      <x:patternFill patternType="solid">
        <x:fgColor rgb="FFEAF3F5"/>
      </x:patternFill>
    </x:fill>
    <x:fill>
      <x:patternFill patternType="solid">
        <x:fgColor rgb="FF0B4A5A"/>
      </x:patternFill>
    </x:fill>
    <x:fill>
      <x:patternFill patternType="solid">
        <x:fgColor rgb="FFF7FAFB"/>
      </x:patternFill>
    </x:fill>
    <x:fill>
      <x:patternFill patternType="solid">
        <x:fgColor rgb="FFDFF2E5"/>
      </x:patternFill>
    </x:fill>
    <x:fill>
      <x:patternFill patternType="solid">
        <x:fgColor rgb="FFF1F3F4"/>
      </x:patternFill>
    </x:fill>
    <x:fill>
      <x:patternFill patternType="solid">
        <x:fgColor rgb="FFD6A23A"/>
      </x:patternFill>
    </x:fill>
    <x:fill>
      <x:patternFill patternType="solid">
        <x:fgColor rgb="FFFFF4D6"/>
      </x:patternFill>
    </x:fill>
  </x:fills>
  <x:borders count="2">
    <x:border/>
    <x:border/>
  </x:borders>
  <x:cellStyleXfs count="1">
    <x:xf numFmtId="0" fontId="0" fillId="0" borderId="0"/>
  </x:cellStyleXfs>
  <x:cellXfs count="8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8" borderId="0" xfId="0" applyNumberFormat="1" applyFont="1" applyFill="1" applyBorder="1" applyAlignment="1">
      <x:alignment horizontal="center"/>
    </x:xf>
    <x:xf numFmtId="0" fontId="7" fillId="8" borderId="1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9" fillId="0" borderId="0" xfId="0" applyNumberFormat="1" applyFont="1" applyFill="1" applyBorder="1" applyAlignment="1">
      <x:alignment horizontal="center"/>
    </x:xf>
    <x:xf numFmtId="0" fontId="9" fillId="0" borderId="1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vertical="top" wrapText="1"/>
    </x:xf>
    <x:xf numFmtId="0" fontId="9" fillId="3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horizontal="center" vertical="top" wrapText="1"/>
    </x:xf>
    <x:xf numFmtId="0" fontId="9" fillId="3" borderId="1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9" fillId="7" borderId="0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9" fillId="7" borderId="1" xfId="0" applyNumberFormat="1" applyFont="1" applyFill="1" applyBorder="1" applyAlignment="1">
      <x:alignment horizontal="center" vertical="top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2" fillId="9" borderId="0" xfId="0" applyNumberFormat="1" applyFont="1" applyFill="1" applyBorder="1"/>
    <x:xf numFmtId="0" fontId="2" fillId="9" borderId="1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448cf7257349cd" /><Relationship Type="http://schemas.openxmlformats.org/officeDocument/2006/relationships/theme" Target="/xl/theme/theme1.xml" Id="Rb3e81ff51121454c" /><Relationship Type="http://schemas.openxmlformats.org/officeDocument/2006/relationships/sharedStrings" Target="/xl/sharedStrings.xml" Id="Rf5eefd138f12494f" /><Relationship Type="http://schemas.openxmlformats.org/officeDocument/2006/relationships/worksheet" Target="/xl/worksheets/sheet1.xml" Id="R69b86a4495a84ebc" /><Relationship Type="http://schemas.openxmlformats.org/officeDocument/2006/relationships/worksheet" Target="/xl/worksheets/sheet2.xml" Id="R1560a75012dd44d4" /><Relationship Type="http://schemas.openxmlformats.org/officeDocument/2006/relationships/worksheet" Target="/xl/worksheets/sheet3.xml" Id="R3cecf1efbd544b7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2673a34feea480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University-Level Institutions by Country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Institutions</c:v>
          </c:tx>
          <c:cat>
            <c:strRef>
              <c:f>'Oceania Country Plan'!$I$11:$I$24</c:f>
              <c:strCache>
                <c:ptCount val="0"/>
              </c:strCache>
            </c:strRef>
          </c:cat>
          <c:val>
            <c:numRef>
              <c:f>'Oceania Country Plan'!$J$11:$J$24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673a34feea480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ceaniaUniversitiesTable" displayName="OceaniaUniversitiesTable" ref="A4:L73" headerRowCount="1">
  <x:tableColumns count="12">
    <x:tableColumn id="1" name="Reference ID"/>
    <x:tableColumn id="2" name="National Code"/>
    <x:tableColumn id="3" name="Official English Name"/>
    <x:tableColumn id="4" name="Local Name"/>
    <x:tableColumn id="5" name="Country"/>
    <x:tableColumn id="6" name="ISO3"/>
    <x:tableColumn id="7" name="City"/>
    <x:tableColumn id="8" name="Institution Type"/>
    <x:tableColumn id="9" name="Ownership"/>
    <x:tableColumn id="10" name="Status"/>
    <x:tableColumn id="11" name="Official Website"/>
    <x:tableColumn id="12" name="Official Sour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32fe0a0f564a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e1c1e66675f4323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0" hidden="0" customWidth="1"/>
    <x:col min="4" max="4" width="40" hidden="0" customWidth="1"/>
    <x:col min="5" max="5" width="22" hidden="0" customWidth="1"/>
    <x:col min="6" max="6" width="9" hidden="0" customWidth="1"/>
    <x:col min="7" max="7" width="22" hidden="0" customWidth="1"/>
    <x:col min="8" max="8" width="25" hidden="0" customWidth="1"/>
    <x:col min="9" max="9" width="12" hidden="0" customWidth="1"/>
    <x:col min="10" max="10" width="11" hidden="0" customWidth="1"/>
    <x:col min="11" max="11" width="30" hidden="0" customWidth="1"/>
    <x:col min="12" max="12" width="48" hidden="0" customWidth="1"/>
  </x:cols>
  <x:sheetData>
    <x:row r="1" ht="30" customHeight="1">
      <x:c r="A1" s="8" t="str">
        <x:v>Oceania Universities Import — Complete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</x:row>
    <x:row r="2" ht="45" customHeight="1">
      <x:c r="A2" s="16" t="str">
        <x:v>69 high-confidence independent university-level entities across all 14 sovereign states of Oceania. The University of the South Pacific is recorded once in Fiji as a single regional university; its branch campuses are not duplicated in member countries. Ordinary colleges, community colleges, dependent campuses, short-cycle institutions, system offices, closed entities and weak college-like providers are excluded.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  <x:row r="4" ht="32" customHeight="1">
      <x:c r="A4" s="26" t="str">
        <x:v>Reference ID</x:v>
      </x:c>
      <x:c r="B4" s="26" t="str">
        <x:v>National Code</x:v>
      </x:c>
      <x:c r="C4" s="26" t="str">
        <x:v>Official English Name</x:v>
      </x:c>
      <x:c r="D4" s="26" t="str">
        <x:v>Local Name</x:v>
      </x:c>
      <x:c r="E4" s="26" t="str">
        <x:v>Country</x:v>
      </x:c>
      <x:c r="F4" s="26" t="str">
        <x:v>ISO3</x:v>
      </x:c>
      <x:c r="G4" s="26" t="str">
        <x:v>City</x:v>
      </x:c>
      <x:c r="H4" s="26" t="str">
        <x:v>Institution Type</x:v>
      </x:c>
      <x:c r="I4" s="26" t="str">
        <x:v>Ownership</x:v>
      </x:c>
      <x:c r="J4" s="26" t="str">
        <x:v>Status</x:v>
      </x:c>
      <x:c r="K4" s="26" t="str">
        <x:v>Official Website</x:v>
      </x:c>
      <x:c r="L4" s="26" t="str">
        <x:v>Official Source</x:v>
      </x:c>
    </x:row>
    <x:row r="5" ht="28" customHeight="1">
      <x:c r="A5" s="30" t="str">
        <x:v>INS-AUS-0001</x:v>
      </x:c>
      <x:c r="B5" s="30"/>
      <x:c r="C5" s="32" t="str">
        <x:v>The Australian National University</x:v>
      </x:c>
      <x:c r="D5" s="32" t="str">
        <x:v>The Australian National University</x:v>
      </x:c>
      <x:c r="E5" s="30" t="str">
        <x:v>Australia</x:v>
      </x:c>
      <x:c r="F5" s="30" t="str">
        <x:v>AUS</x:v>
      </x:c>
      <x:c r="G5" s="32" t="str">
        <x:v>Canberra</x:v>
      </x:c>
      <x:c r="H5" s="32" t="str">
        <x:v>University</x:v>
      </x:c>
      <x:c r="I5" s="30" t="str">
        <x:v>Public</x:v>
      </x:c>
      <x:c r="J5" s="30" t="str">
        <x:v>Active</x:v>
      </x:c>
      <x:c r="K5" s="30" t="str">
        <x:v>https://www.anu.edu.au/</x:v>
      </x:c>
      <x:c r="L5" s="32" t="str">
        <x:v>https://www.teqsa.gov.au/national-register | https://universitiesaustralia.edu.au/our-universities/university-profiles/</x:v>
      </x:c>
    </x:row>
    <x:row r="6" ht="28" customHeight="1">
      <x:c r="A6" s="30" t="str">
        <x:v>INS-AUS-0002</x:v>
      </x:c>
      <x:c r="B6" s="30"/>
      <x:c r="C6" s="32" t="str">
        <x:v>University of Canberra</x:v>
      </x:c>
      <x:c r="D6" s="32" t="str">
        <x:v>University of Canberra</x:v>
      </x:c>
      <x:c r="E6" s="30" t="str">
        <x:v>Australia</x:v>
      </x:c>
      <x:c r="F6" s="30" t="str">
        <x:v>AUS</x:v>
      </x:c>
      <x:c r="G6" s="32" t="str">
        <x:v>Canberra</x:v>
      </x:c>
      <x:c r="H6" s="32" t="str">
        <x:v>University</x:v>
      </x:c>
      <x:c r="I6" s="30" t="str">
        <x:v>Public</x:v>
      </x:c>
      <x:c r="J6" s="30" t="str">
        <x:v>Active</x:v>
      </x:c>
      <x:c r="K6" s="30" t="str">
        <x:v>https://www.canberra.edu.au/</x:v>
      </x:c>
      <x:c r="L6" s="32" t="str">
        <x:v>https://www.teqsa.gov.au/national-register | https://universitiesaustralia.edu.au/our-universities/university-profiles/</x:v>
      </x:c>
    </x:row>
    <x:row r="7" ht="28" customHeight="1">
      <x:c r="A7" s="30" t="str">
        <x:v>INS-AUS-0003</x:v>
      </x:c>
      <x:c r="B7" s="30"/>
      <x:c r="C7" s="32" t="str">
        <x:v>Australian Catholic University</x:v>
      </x:c>
      <x:c r="D7" s="32" t="str">
        <x:v>Australian Catholic University</x:v>
      </x:c>
      <x:c r="E7" s="30" t="str">
        <x:v>Australia</x:v>
      </x:c>
      <x:c r="F7" s="30" t="str">
        <x:v>AUS</x:v>
      </x:c>
      <x:c r="G7" s="32" t="str">
        <x:v>North Sydney</x:v>
      </x:c>
      <x:c r="H7" s="32" t="str">
        <x:v>University</x:v>
      </x:c>
      <x:c r="I7" s="30" t="str">
        <x:v>Public</x:v>
      </x:c>
      <x:c r="J7" s="30" t="str">
        <x:v>Active</x:v>
      </x:c>
      <x:c r="K7" s="30" t="str">
        <x:v>https://www.acu.edu.au/</x:v>
      </x:c>
      <x:c r="L7" s="32" t="str">
        <x:v>https://www.teqsa.gov.au/national-register | https://universitiesaustralia.edu.au/our-universities/university-profiles/</x:v>
      </x:c>
    </x:row>
    <x:row r="8" ht="28" customHeight="1">
      <x:c r="A8" s="30" t="str">
        <x:v>INS-AUS-0004</x:v>
      </x:c>
      <x:c r="B8" s="30"/>
      <x:c r="C8" s="32" t="str">
        <x:v>The University of Notre Dame Australia</x:v>
      </x:c>
      <x:c r="D8" s="32" t="str">
        <x:v>The University of Notre Dame Australia</x:v>
      </x:c>
      <x:c r="E8" s="30" t="str">
        <x:v>Australia</x:v>
      </x:c>
      <x:c r="F8" s="30" t="str">
        <x:v>AUS</x:v>
      </x:c>
      <x:c r="G8" s="32" t="str">
        <x:v>Fremantle</x:v>
      </x:c>
      <x:c r="H8" s="32" t="str">
        <x:v>University</x:v>
      </x:c>
      <x:c r="I8" s="30" t="str">
        <x:v>Private</x:v>
      </x:c>
      <x:c r="J8" s="30" t="str">
        <x:v>Active</x:v>
      </x:c>
      <x:c r="K8" s="30" t="str">
        <x:v>https://www.notredame.edu.au/</x:v>
      </x:c>
      <x:c r="L8" s="32" t="str">
        <x:v>https://www.teqsa.gov.au/national-register | https://universitiesaustralia.edu.au/our-universities/university-profiles/</x:v>
      </x:c>
    </x:row>
    <x:row r="9" ht="28" customHeight="1">
      <x:c r="A9" s="30" t="str">
        <x:v>INS-AUS-0005</x:v>
      </x:c>
      <x:c r="B9" s="30"/>
      <x:c r="C9" s="32" t="str">
        <x:v>Charles Sturt University</x:v>
      </x:c>
      <x:c r="D9" s="32" t="str">
        <x:v>Charles Sturt University</x:v>
      </x:c>
      <x:c r="E9" s="30" t="str">
        <x:v>Australia</x:v>
      </x:c>
      <x:c r="F9" s="30" t="str">
        <x:v>AUS</x:v>
      </x:c>
      <x:c r="G9" s="32" t="str">
        <x:v>Bathurst</x:v>
      </x:c>
      <x:c r="H9" s="32" t="str">
        <x:v>University</x:v>
      </x:c>
      <x:c r="I9" s="30" t="str">
        <x:v>Public</x:v>
      </x:c>
      <x:c r="J9" s="30" t="str">
        <x:v>Active</x:v>
      </x:c>
      <x:c r="K9" s="30" t="str">
        <x:v>https://www.csu.edu.au/</x:v>
      </x:c>
      <x:c r="L9" s="32" t="str">
        <x:v>https://www.teqsa.gov.au/national-register | https://universitiesaustralia.edu.au/our-universities/university-profiles/</x:v>
      </x:c>
    </x:row>
    <x:row r="10" ht="28" customHeight="1">
      <x:c r="A10" s="30" t="str">
        <x:v>INS-AUS-0006</x:v>
      </x:c>
      <x:c r="B10" s="30"/>
      <x:c r="C10" s="32" t="str">
        <x:v>Macquarie University</x:v>
      </x:c>
      <x:c r="D10" s="32" t="str">
        <x:v>Macquarie University</x:v>
      </x:c>
      <x:c r="E10" s="30" t="str">
        <x:v>Australia</x:v>
      </x:c>
      <x:c r="F10" s="30" t="str">
        <x:v>AUS</x:v>
      </x:c>
      <x:c r="G10" s="32" t="str">
        <x:v>Sydney</x:v>
      </x:c>
      <x:c r="H10" s="32" t="str">
        <x:v>University</x:v>
      </x:c>
      <x:c r="I10" s="30" t="str">
        <x:v>Public</x:v>
      </x:c>
      <x:c r="J10" s="30" t="str">
        <x:v>Active</x:v>
      </x:c>
      <x:c r="K10" s="30" t="str">
        <x:v>https://www.mq.edu.au/</x:v>
      </x:c>
      <x:c r="L10" s="32" t="str">
        <x:v>https://www.teqsa.gov.au/national-register | https://universitiesaustralia.edu.au/our-universities/university-profiles/</x:v>
      </x:c>
    </x:row>
    <x:row r="11" ht="28" customHeight="1">
      <x:c r="A11" s="30" t="str">
        <x:v>INS-AUS-0007</x:v>
      </x:c>
      <x:c r="B11" s="30"/>
      <x:c r="C11" s="32" t="str">
        <x:v>Southern Cross University</x:v>
      </x:c>
      <x:c r="D11" s="32" t="str">
        <x:v>Southern Cross University</x:v>
      </x:c>
      <x:c r="E11" s="30" t="str">
        <x:v>Australia</x:v>
      </x:c>
      <x:c r="F11" s="30" t="str">
        <x:v>AUS</x:v>
      </x:c>
      <x:c r="G11" s="32" t="str">
        <x:v>Lismore</x:v>
      </x:c>
      <x:c r="H11" s="32" t="str">
        <x:v>University</x:v>
      </x:c>
      <x:c r="I11" s="30" t="str">
        <x:v>Public</x:v>
      </x:c>
      <x:c r="J11" s="30" t="str">
        <x:v>Active</x:v>
      </x:c>
      <x:c r="K11" s="30" t="str">
        <x:v>https://www.scu.edu.au/</x:v>
      </x:c>
      <x:c r="L11" s="32" t="str">
        <x:v>https://www.teqsa.gov.au/national-register | https://universitiesaustralia.edu.au/our-universities/university-profiles/</x:v>
      </x:c>
    </x:row>
    <x:row r="12" ht="28" customHeight="1">
      <x:c r="A12" s="30" t="str">
        <x:v>INS-AUS-0008</x:v>
      </x:c>
      <x:c r="B12" s="30"/>
      <x:c r="C12" s="32" t="str">
        <x:v>The University of New England</x:v>
      </x:c>
      <x:c r="D12" s="32" t="str">
        <x:v>The University of New England</x:v>
      </x:c>
      <x:c r="E12" s="30" t="str">
        <x:v>Australia</x:v>
      </x:c>
      <x:c r="F12" s="30" t="str">
        <x:v>AUS</x:v>
      </x:c>
      <x:c r="G12" s="32" t="str">
        <x:v>Armidale</x:v>
      </x:c>
      <x:c r="H12" s="32" t="str">
        <x:v>University</x:v>
      </x:c>
      <x:c r="I12" s="30" t="str">
        <x:v>Public</x:v>
      </x:c>
      <x:c r="J12" s="30" t="str">
        <x:v>Active</x:v>
      </x:c>
      <x:c r="K12" s="30" t="str">
        <x:v>https://www.une.edu.au/</x:v>
      </x:c>
      <x:c r="L12" s="32" t="str">
        <x:v>https://www.teqsa.gov.au/national-register | https://universitiesaustralia.edu.au/our-universities/university-profiles/</x:v>
      </x:c>
    </x:row>
    <x:row r="13" ht="28" customHeight="1">
      <x:c r="A13" s="30" t="str">
        <x:v>INS-AUS-0009</x:v>
      </x:c>
      <x:c r="B13" s="30"/>
      <x:c r="C13" s="32" t="str">
        <x:v>The University of Newcastle</x:v>
      </x:c>
      <x:c r="D13" s="32" t="str">
        <x:v>The University of Newcastle</x:v>
      </x:c>
      <x:c r="E13" s="30" t="str">
        <x:v>Australia</x:v>
      </x:c>
      <x:c r="F13" s="30" t="str">
        <x:v>AUS</x:v>
      </x:c>
      <x:c r="G13" s="32" t="str">
        <x:v>Newcastle</x:v>
      </x:c>
      <x:c r="H13" s="32" t="str">
        <x:v>University</x:v>
      </x:c>
      <x:c r="I13" s="30" t="str">
        <x:v>Public</x:v>
      </x:c>
      <x:c r="J13" s="30" t="str">
        <x:v>Active</x:v>
      </x:c>
      <x:c r="K13" s="30" t="str">
        <x:v>https://www.newcastle.edu.au/</x:v>
      </x:c>
      <x:c r="L13" s="32" t="str">
        <x:v>https://www.teqsa.gov.au/national-register | https://universitiesaustralia.edu.au/our-universities/university-profiles/</x:v>
      </x:c>
    </x:row>
    <x:row r="14" ht="28" customHeight="1">
      <x:c r="A14" s="30" t="str">
        <x:v>INS-AUS-0010</x:v>
      </x:c>
      <x:c r="B14" s="30"/>
      <x:c r="C14" s="32" t="str">
        <x:v>The University of Sydney</x:v>
      </x:c>
      <x:c r="D14" s="32" t="str">
        <x:v>The University of Sydney</x:v>
      </x:c>
      <x:c r="E14" s="30" t="str">
        <x:v>Australia</x:v>
      </x:c>
      <x:c r="F14" s="30" t="str">
        <x:v>AUS</x:v>
      </x:c>
      <x:c r="G14" s="32" t="str">
        <x:v>Sydney</x:v>
      </x:c>
      <x:c r="H14" s="32" t="str">
        <x:v>University</x:v>
      </x:c>
      <x:c r="I14" s="30" t="str">
        <x:v>Public</x:v>
      </x:c>
      <x:c r="J14" s="30" t="str">
        <x:v>Active</x:v>
      </x:c>
      <x:c r="K14" s="30" t="str">
        <x:v>https://www.sydney.edu.au/</x:v>
      </x:c>
      <x:c r="L14" s="32" t="str">
        <x:v>https://www.teqsa.gov.au/national-register | https://universitiesaustralia.edu.au/our-universities/university-profiles/</x:v>
      </x:c>
    </x:row>
    <x:row r="15" ht="28" customHeight="1">
      <x:c r="A15" s="30" t="str">
        <x:v>INS-AUS-0011</x:v>
      </x:c>
      <x:c r="B15" s="30"/>
      <x:c r="C15" s="32" t="str">
        <x:v>University of Technology Sydney</x:v>
      </x:c>
      <x:c r="D15" s="32" t="str">
        <x:v>University of Technology Sydney</x:v>
      </x:c>
      <x:c r="E15" s="30" t="str">
        <x:v>Australia</x:v>
      </x:c>
      <x:c r="F15" s="30" t="str">
        <x:v>AUS</x:v>
      </x:c>
      <x:c r="G15" s="32" t="str">
        <x:v>Sydney</x:v>
      </x:c>
      <x:c r="H15" s="32" t="str">
        <x:v>Technical University</x:v>
      </x:c>
      <x:c r="I15" s="30" t="str">
        <x:v>Public</x:v>
      </x:c>
      <x:c r="J15" s="30" t="str">
        <x:v>Active</x:v>
      </x:c>
      <x:c r="K15" s="30" t="str">
        <x:v>https://www.uts.edu.au/</x:v>
      </x:c>
      <x:c r="L15" s="32" t="str">
        <x:v>https://www.teqsa.gov.au/national-register | https://universitiesaustralia.edu.au/our-universities/university-profiles/</x:v>
      </x:c>
    </x:row>
    <x:row r="16" ht="28" customHeight="1">
      <x:c r="A16" s="30" t="str">
        <x:v>INS-AUS-0012</x:v>
      </x:c>
      <x:c r="B16" s="30"/>
      <x:c r="C16" s="32" t="str">
        <x:v>University of Wollongong</x:v>
      </x:c>
      <x:c r="D16" s="32" t="str">
        <x:v>University of Wollongong</x:v>
      </x:c>
      <x:c r="E16" s="30" t="str">
        <x:v>Australia</x:v>
      </x:c>
      <x:c r="F16" s="30" t="str">
        <x:v>AUS</x:v>
      </x:c>
      <x:c r="G16" s="32" t="str">
        <x:v>Wollongong</x:v>
      </x:c>
      <x:c r="H16" s="32" t="str">
        <x:v>University</x:v>
      </x:c>
      <x:c r="I16" s="30" t="str">
        <x:v>Public</x:v>
      </x:c>
      <x:c r="J16" s="30" t="str">
        <x:v>Active</x:v>
      </x:c>
      <x:c r="K16" s="30" t="str">
        <x:v>https://www.uow.edu.au/</x:v>
      </x:c>
      <x:c r="L16" s="32" t="str">
        <x:v>https://www.teqsa.gov.au/national-register | https://universitiesaustralia.edu.au/our-universities/university-profiles/</x:v>
      </x:c>
    </x:row>
    <x:row r="17" ht="28" customHeight="1">
      <x:c r="A17" s="30" t="str">
        <x:v>INS-AUS-0013</x:v>
      </x:c>
      <x:c r="B17" s="30"/>
      <x:c r="C17" s="32" t="str">
        <x:v>UNSW Sydney</x:v>
      </x:c>
      <x:c r="D17" s="32" t="str">
        <x:v>UNSW Sydney</x:v>
      </x:c>
      <x:c r="E17" s="30" t="str">
        <x:v>Australia</x:v>
      </x:c>
      <x:c r="F17" s="30" t="str">
        <x:v>AUS</x:v>
      </x:c>
      <x:c r="G17" s="32" t="str">
        <x:v>Sydney</x:v>
      </x:c>
      <x:c r="H17" s="32" t="str">
        <x:v>University</x:v>
      </x:c>
      <x:c r="I17" s="30" t="str">
        <x:v>Public</x:v>
      </x:c>
      <x:c r="J17" s="30" t="str">
        <x:v>Active</x:v>
      </x:c>
      <x:c r="K17" s="30" t="str">
        <x:v>https://www.unsw.edu.au/</x:v>
      </x:c>
      <x:c r="L17" s="32" t="str">
        <x:v>https://www.teqsa.gov.au/national-register | https://universitiesaustralia.edu.au/our-universities/university-profiles/</x:v>
      </x:c>
    </x:row>
    <x:row r="18" ht="28" customHeight="1">
      <x:c r="A18" s="30" t="str">
        <x:v>INS-AUS-0014</x:v>
      </x:c>
      <x:c r="B18" s="30"/>
      <x:c r="C18" s="32" t="str">
        <x:v>Western Sydney University</x:v>
      </x:c>
      <x:c r="D18" s="32" t="str">
        <x:v>Western Sydney University</x:v>
      </x:c>
      <x:c r="E18" s="30" t="str">
        <x:v>Australia</x:v>
      </x:c>
      <x:c r="F18" s="30" t="str">
        <x:v>AUS</x:v>
      </x:c>
      <x:c r="G18" s="32" t="str">
        <x:v>Penrith</x:v>
      </x:c>
      <x:c r="H18" s="32" t="str">
        <x:v>University</x:v>
      </x:c>
      <x:c r="I18" s="30" t="str">
        <x:v>Public</x:v>
      </x:c>
      <x:c r="J18" s="30" t="str">
        <x:v>Active</x:v>
      </x:c>
      <x:c r="K18" s="30" t="str">
        <x:v>https://www.westernsydney.edu.au/</x:v>
      </x:c>
      <x:c r="L18" s="32" t="str">
        <x:v>https://www.teqsa.gov.au/national-register | https://universitiesaustralia.edu.au/our-universities/university-profiles/</x:v>
      </x:c>
    </x:row>
    <x:row r="19" ht="28" customHeight="1">
      <x:c r="A19" s="30" t="str">
        <x:v>INS-AUS-0015</x:v>
      </x:c>
      <x:c r="B19" s="30"/>
      <x:c r="C19" s="32" t="str">
        <x:v>Charles Darwin University</x:v>
      </x:c>
      <x:c r="D19" s="32" t="str">
        <x:v>Charles Darwin University</x:v>
      </x:c>
      <x:c r="E19" s="30" t="str">
        <x:v>Australia</x:v>
      </x:c>
      <x:c r="F19" s="30" t="str">
        <x:v>AUS</x:v>
      </x:c>
      <x:c r="G19" s="32" t="str">
        <x:v>Darwin</x:v>
      </x:c>
      <x:c r="H19" s="32" t="str">
        <x:v>University</x:v>
      </x:c>
      <x:c r="I19" s="30" t="str">
        <x:v>Public</x:v>
      </x:c>
      <x:c r="J19" s="30" t="str">
        <x:v>Active</x:v>
      </x:c>
      <x:c r="K19" s="30" t="str">
        <x:v>https://www.cdu.edu.au/</x:v>
      </x:c>
      <x:c r="L19" s="32" t="str">
        <x:v>https://www.teqsa.gov.au/national-register | https://universitiesaustralia.edu.au/our-universities/university-profiles/</x:v>
      </x:c>
    </x:row>
    <x:row r="20" ht="28" customHeight="1">
      <x:c r="A20" s="30" t="str">
        <x:v>INS-AUS-0016</x:v>
      </x:c>
      <x:c r="B20" s="30"/>
      <x:c r="C20" s="32" t="str">
        <x:v>Bond University</x:v>
      </x:c>
      <x:c r="D20" s="32" t="str">
        <x:v>Bond University</x:v>
      </x:c>
      <x:c r="E20" s="30" t="str">
        <x:v>Australia</x:v>
      </x:c>
      <x:c r="F20" s="30" t="str">
        <x:v>AUS</x:v>
      </x:c>
      <x:c r="G20" s="32" t="str">
        <x:v>Gold Coast</x:v>
      </x:c>
      <x:c r="H20" s="32" t="str">
        <x:v>University</x:v>
      </x:c>
      <x:c r="I20" s="30" t="str">
        <x:v>Private</x:v>
      </x:c>
      <x:c r="J20" s="30" t="str">
        <x:v>Active</x:v>
      </x:c>
      <x:c r="K20" s="30" t="str">
        <x:v>https://bond.edu.au/</x:v>
      </x:c>
      <x:c r="L20" s="32" t="str">
        <x:v>https://www.teqsa.gov.au/national-register | https://universitiesaustralia.edu.au/our-universities/university-profiles/</x:v>
      </x:c>
    </x:row>
    <x:row r="21" ht="28" customHeight="1">
      <x:c r="A21" s="30" t="str">
        <x:v>INS-AUS-0017</x:v>
      </x:c>
      <x:c r="B21" s="30"/>
      <x:c r="C21" s="32" t="str">
        <x:v>CQUniversity Australia</x:v>
      </x:c>
      <x:c r="D21" s="32" t="str">
        <x:v>CQUniversity Australia</x:v>
      </x:c>
      <x:c r="E21" s="30" t="str">
        <x:v>Australia</x:v>
      </x:c>
      <x:c r="F21" s="30" t="str">
        <x:v>AUS</x:v>
      </x:c>
      <x:c r="G21" s="32" t="str">
        <x:v>Rockhampton</x:v>
      </x:c>
      <x:c r="H21" s="32" t="str">
        <x:v>University</x:v>
      </x:c>
      <x:c r="I21" s="30" t="str">
        <x:v>Public</x:v>
      </x:c>
      <x:c r="J21" s="30" t="str">
        <x:v>Active</x:v>
      </x:c>
      <x:c r="K21" s="30" t="str">
        <x:v>https://www.cqu.edu.au/</x:v>
      </x:c>
      <x:c r="L21" s="32" t="str">
        <x:v>https://www.teqsa.gov.au/national-register | https://universitiesaustralia.edu.au/our-universities/university-profiles/</x:v>
      </x:c>
    </x:row>
    <x:row r="22" ht="28" customHeight="1">
      <x:c r="A22" s="30" t="str">
        <x:v>INS-AUS-0018</x:v>
      </x:c>
      <x:c r="B22" s="30"/>
      <x:c r="C22" s="32" t="str">
        <x:v>Griffith University</x:v>
      </x:c>
      <x:c r="D22" s="32" t="str">
        <x:v>Griffith University</x:v>
      </x:c>
      <x:c r="E22" s="30" t="str">
        <x:v>Australia</x:v>
      </x:c>
      <x:c r="F22" s="30" t="str">
        <x:v>AUS</x:v>
      </x:c>
      <x:c r="G22" s="32" t="str">
        <x:v>Brisbane</x:v>
      </x:c>
      <x:c r="H22" s="32" t="str">
        <x:v>University</x:v>
      </x:c>
      <x:c r="I22" s="30" t="str">
        <x:v>Public</x:v>
      </x:c>
      <x:c r="J22" s="30" t="str">
        <x:v>Active</x:v>
      </x:c>
      <x:c r="K22" s="30" t="str">
        <x:v>https://www.griffith.edu.au/</x:v>
      </x:c>
      <x:c r="L22" s="32" t="str">
        <x:v>https://www.teqsa.gov.au/national-register | https://universitiesaustralia.edu.au/our-universities/university-profiles/</x:v>
      </x:c>
    </x:row>
    <x:row r="23" ht="28" customHeight="1">
      <x:c r="A23" s="30" t="str">
        <x:v>INS-AUS-0019</x:v>
      </x:c>
      <x:c r="B23" s="30"/>
      <x:c r="C23" s="32" t="str">
        <x:v>James Cook University</x:v>
      </x:c>
      <x:c r="D23" s="32" t="str">
        <x:v>James Cook University</x:v>
      </x:c>
      <x:c r="E23" s="30" t="str">
        <x:v>Australia</x:v>
      </x:c>
      <x:c r="F23" s="30" t="str">
        <x:v>AUS</x:v>
      </x:c>
      <x:c r="G23" s="32" t="str">
        <x:v>Townsville</x:v>
      </x:c>
      <x:c r="H23" s="32" t="str">
        <x:v>University</x:v>
      </x:c>
      <x:c r="I23" s="30" t="str">
        <x:v>Public</x:v>
      </x:c>
      <x:c r="J23" s="30" t="str">
        <x:v>Active</x:v>
      </x:c>
      <x:c r="K23" s="30" t="str">
        <x:v>https://www.jcu.edu.au/</x:v>
      </x:c>
      <x:c r="L23" s="32" t="str">
        <x:v>https://www.teqsa.gov.au/national-register | https://universitiesaustralia.edu.au/our-universities/university-profiles/</x:v>
      </x:c>
    </x:row>
    <x:row r="24" ht="28" customHeight="1">
      <x:c r="A24" s="30" t="str">
        <x:v>INS-AUS-0020</x:v>
      </x:c>
      <x:c r="B24" s="30"/>
      <x:c r="C24" s="32" t="str">
        <x:v>Queensland University of Technology</x:v>
      </x:c>
      <x:c r="D24" s="32" t="str">
        <x:v>Queensland University of Technology</x:v>
      </x:c>
      <x:c r="E24" s="30" t="str">
        <x:v>Australia</x:v>
      </x:c>
      <x:c r="F24" s="30" t="str">
        <x:v>AUS</x:v>
      </x:c>
      <x:c r="G24" s="32" t="str">
        <x:v>Brisbane</x:v>
      </x:c>
      <x:c r="H24" s="32" t="str">
        <x:v>Technical University</x:v>
      </x:c>
      <x:c r="I24" s="30" t="str">
        <x:v>Public</x:v>
      </x:c>
      <x:c r="J24" s="30" t="str">
        <x:v>Active</x:v>
      </x:c>
      <x:c r="K24" s="30" t="str">
        <x:v>https://www.qut.edu.au/</x:v>
      </x:c>
      <x:c r="L24" s="32" t="str">
        <x:v>https://www.teqsa.gov.au/national-register | https://universitiesaustralia.edu.au/our-universities/university-profiles/</x:v>
      </x:c>
    </x:row>
    <x:row r="25" ht="28" customHeight="1">
      <x:c r="A25" s="30" t="str">
        <x:v>INS-AUS-0021</x:v>
      </x:c>
      <x:c r="B25" s="30"/>
      <x:c r="C25" s="32" t="str">
        <x:v>The University of Queensland</x:v>
      </x:c>
      <x:c r="D25" s="32" t="str">
        <x:v>The University of Queensland</x:v>
      </x:c>
      <x:c r="E25" s="30" t="str">
        <x:v>Australia</x:v>
      </x:c>
      <x:c r="F25" s="30" t="str">
        <x:v>AUS</x:v>
      </x:c>
      <x:c r="G25" s="32" t="str">
        <x:v>Brisbane</x:v>
      </x:c>
      <x:c r="H25" s="32" t="str">
        <x:v>University</x:v>
      </x:c>
      <x:c r="I25" s="30" t="str">
        <x:v>Public</x:v>
      </x:c>
      <x:c r="J25" s="30" t="str">
        <x:v>Active</x:v>
      </x:c>
      <x:c r="K25" s="30" t="str">
        <x:v>https://www.uq.edu.au/</x:v>
      </x:c>
      <x:c r="L25" s="32" t="str">
        <x:v>https://www.teqsa.gov.au/national-register | https://universitiesaustralia.edu.au/our-universities/university-profiles/</x:v>
      </x:c>
    </x:row>
    <x:row r="26" ht="28" customHeight="1">
      <x:c r="A26" s="30" t="str">
        <x:v>INS-AUS-0022</x:v>
      </x:c>
      <x:c r="B26" s="30"/>
      <x:c r="C26" s="32" t="str">
        <x:v>University of Southern Queensland</x:v>
      </x:c>
      <x:c r="D26" s="32" t="str">
        <x:v>University of Southern Queensland</x:v>
      </x:c>
      <x:c r="E26" s="30" t="str">
        <x:v>Australia</x:v>
      </x:c>
      <x:c r="F26" s="30" t="str">
        <x:v>AUS</x:v>
      </x:c>
      <x:c r="G26" s="32" t="str">
        <x:v>Toowoomba</x:v>
      </x:c>
      <x:c r="H26" s="32" t="str">
        <x:v>University</x:v>
      </x:c>
      <x:c r="I26" s="30" t="str">
        <x:v>Public</x:v>
      </x:c>
      <x:c r="J26" s="30" t="str">
        <x:v>Active</x:v>
      </x:c>
      <x:c r="K26" s="30" t="str">
        <x:v>https://www.unisq.edu.au/</x:v>
      </x:c>
      <x:c r="L26" s="32" t="str">
        <x:v>https://www.teqsa.gov.au/national-register | https://universitiesaustralia.edu.au/our-universities/university-profiles/</x:v>
      </x:c>
    </x:row>
    <x:row r="27" ht="28" customHeight="1">
      <x:c r="A27" s="30" t="str">
        <x:v>INS-AUS-0023</x:v>
      </x:c>
      <x:c r="B27" s="30"/>
      <x:c r="C27" s="32" t="str">
        <x:v>University of the Sunshine Coast</x:v>
      </x:c>
      <x:c r="D27" s="32" t="str">
        <x:v>University of the Sunshine Coast</x:v>
      </x:c>
      <x:c r="E27" s="30" t="str">
        <x:v>Australia</x:v>
      </x:c>
      <x:c r="F27" s="30" t="str">
        <x:v>AUS</x:v>
      </x:c>
      <x:c r="G27" s="32" t="str">
        <x:v>Sippy Downs</x:v>
      </x:c>
      <x:c r="H27" s="32" t="str">
        <x:v>University</x:v>
      </x:c>
      <x:c r="I27" s="30" t="str">
        <x:v>Public</x:v>
      </x:c>
      <x:c r="J27" s="30" t="str">
        <x:v>Active</x:v>
      </x:c>
      <x:c r="K27" s="30" t="str">
        <x:v>https://www.usc.edu.au/</x:v>
      </x:c>
      <x:c r="L27" s="32" t="str">
        <x:v>https://www.teqsa.gov.au/national-register | https://universitiesaustralia.edu.au/our-universities/university-profiles/</x:v>
      </x:c>
    </x:row>
    <x:row r="28" ht="28" customHeight="1">
      <x:c r="A28" s="30" t="str">
        <x:v>INS-AUS-0024</x:v>
      </x:c>
      <x:c r="B28" s="30"/>
      <x:c r="C28" s="32" t="str">
        <x:v>Adelaide University</x:v>
      </x:c>
      <x:c r="D28" s="32" t="str">
        <x:v>Adelaide University</x:v>
      </x:c>
      <x:c r="E28" s="30" t="str">
        <x:v>Australia</x:v>
      </x:c>
      <x:c r="F28" s="30" t="str">
        <x:v>AUS</x:v>
      </x:c>
      <x:c r="G28" s="32" t="str">
        <x:v>Adelaide</x:v>
      </x:c>
      <x:c r="H28" s="32" t="str">
        <x:v>University</x:v>
      </x:c>
      <x:c r="I28" s="30" t="str">
        <x:v>Public</x:v>
      </x:c>
      <x:c r="J28" s="30" t="str">
        <x:v>Active</x:v>
      </x:c>
      <x:c r="K28" s="30" t="str">
        <x:v>https://adelaide.edu.au/</x:v>
      </x:c>
      <x:c r="L28" s="32" t="str">
        <x:v>https://www.teqsa.gov.au/national-register | https://universitiesaustralia.edu.au/our-universities/university-profiles/</x:v>
      </x:c>
    </x:row>
    <x:row r="29" ht="28" customHeight="1">
      <x:c r="A29" s="30" t="str">
        <x:v>INS-AUS-0025</x:v>
      </x:c>
      <x:c r="B29" s="30"/>
      <x:c r="C29" s="32" t="str">
        <x:v>Flinders University</x:v>
      </x:c>
      <x:c r="D29" s="32" t="str">
        <x:v>Flinders University</x:v>
      </x:c>
      <x:c r="E29" s="30" t="str">
        <x:v>Australia</x:v>
      </x:c>
      <x:c r="F29" s="30" t="str">
        <x:v>AUS</x:v>
      </x:c>
      <x:c r="G29" s="32" t="str">
        <x:v>Adelaide</x:v>
      </x:c>
      <x:c r="H29" s="32" t="str">
        <x:v>University</x:v>
      </x:c>
      <x:c r="I29" s="30" t="str">
        <x:v>Public</x:v>
      </x:c>
      <x:c r="J29" s="30" t="str">
        <x:v>Active</x:v>
      </x:c>
      <x:c r="K29" s="30" t="str">
        <x:v>https://www.flinders.edu.au/</x:v>
      </x:c>
      <x:c r="L29" s="32" t="str">
        <x:v>https://www.teqsa.gov.au/national-register | https://universitiesaustralia.edu.au/our-universities/university-profiles/</x:v>
      </x:c>
    </x:row>
    <x:row r="30" ht="28" customHeight="1">
      <x:c r="A30" s="30" t="str">
        <x:v>INS-AUS-0026</x:v>
      </x:c>
      <x:c r="B30" s="30"/>
      <x:c r="C30" s="32" t="str">
        <x:v>University of Tasmania</x:v>
      </x:c>
      <x:c r="D30" s="32" t="str">
        <x:v>University of Tasmania</x:v>
      </x:c>
      <x:c r="E30" s="30" t="str">
        <x:v>Australia</x:v>
      </x:c>
      <x:c r="F30" s="30" t="str">
        <x:v>AUS</x:v>
      </x:c>
      <x:c r="G30" s="32" t="str">
        <x:v>Hobart</x:v>
      </x:c>
      <x:c r="H30" s="32" t="str">
        <x:v>University</x:v>
      </x:c>
      <x:c r="I30" s="30" t="str">
        <x:v>Public</x:v>
      </x:c>
      <x:c r="J30" s="30" t="str">
        <x:v>Active</x:v>
      </x:c>
      <x:c r="K30" s="30" t="str">
        <x:v>https://www.utas.edu.au/</x:v>
      </x:c>
      <x:c r="L30" s="32" t="str">
        <x:v>https://www.teqsa.gov.au/national-register | https://universitiesaustralia.edu.au/our-universities/university-profiles/</x:v>
      </x:c>
    </x:row>
    <x:row r="31" ht="28" customHeight="1">
      <x:c r="A31" s="30" t="str">
        <x:v>INS-AUS-0027</x:v>
      </x:c>
      <x:c r="B31" s="30"/>
      <x:c r="C31" s="32" t="str">
        <x:v>Deakin University</x:v>
      </x:c>
      <x:c r="D31" s="32" t="str">
        <x:v>Deakin University</x:v>
      </x:c>
      <x:c r="E31" s="30" t="str">
        <x:v>Australia</x:v>
      </x:c>
      <x:c r="F31" s="30" t="str">
        <x:v>AUS</x:v>
      </x:c>
      <x:c r="G31" s="32" t="str">
        <x:v>Geelong</x:v>
      </x:c>
      <x:c r="H31" s="32" t="str">
        <x:v>University</x:v>
      </x:c>
      <x:c r="I31" s="30" t="str">
        <x:v>Public</x:v>
      </x:c>
      <x:c r="J31" s="30" t="str">
        <x:v>Active</x:v>
      </x:c>
      <x:c r="K31" s="30" t="str">
        <x:v>https://www.deakin.edu.au/</x:v>
      </x:c>
      <x:c r="L31" s="32" t="str">
        <x:v>https://www.teqsa.gov.au/national-register | https://universitiesaustralia.edu.au/our-universities/university-profiles/</x:v>
      </x:c>
    </x:row>
    <x:row r="32" ht="28" customHeight="1">
      <x:c r="A32" s="30" t="str">
        <x:v>INS-AUS-0028</x:v>
      </x:c>
      <x:c r="B32" s="30"/>
      <x:c r="C32" s="32" t="str">
        <x:v>Federation University Australia</x:v>
      </x:c>
      <x:c r="D32" s="32" t="str">
        <x:v>Federation University Australia</x:v>
      </x:c>
      <x:c r="E32" s="30" t="str">
        <x:v>Australia</x:v>
      </x:c>
      <x:c r="F32" s="30" t="str">
        <x:v>AUS</x:v>
      </x:c>
      <x:c r="G32" s="32" t="str">
        <x:v>Ballarat</x:v>
      </x:c>
      <x:c r="H32" s="32" t="str">
        <x:v>University</x:v>
      </x:c>
      <x:c r="I32" s="30" t="str">
        <x:v>Public</x:v>
      </x:c>
      <x:c r="J32" s="30" t="str">
        <x:v>Active</x:v>
      </x:c>
      <x:c r="K32" s="30" t="str">
        <x:v>https://federation.edu.au/</x:v>
      </x:c>
      <x:c r="L32" s="32" t="str">
        <x:v>https://www.teqsa.gov.au/national-register | https://universitiesaustralia.edu.au/our-universities/university-profiles/</x:v>
      </x:c>
    </x:row>
    <x:row r="33" ht="28" customHeight="1">
      <x:c r="A33" s="30" t="str">
        <x:v>INS-AUS-0029</x:v>
      </x:c>
      <x:c r="B33" s="30"/>
      <x:c r="C33" s="32" t="str">
        <x:v>La Trobe University</x:v>
      </x:c>
      <x:c r="D33" s="32" t="str">
        <x:v>La Trobe University</x:v>
      </x:c>
      <x:c r="E33" s="30" t="str">
        <x:v>Australia</x:v>
      </x:c>
      <x:c r="F33" s="30" t="str">
        <x:v>AUS</x:v>
      </x:c>
      <x:c r="G33" s="32" t="str">
        <x:v>Melbourne</x:v>
      </x:c>
      <x:c r="H33" s="32" t="str">
        <x:v>University</x:v>
      </x:c>
      <x:c r="I33" s="30" t="str">
        <x:v>Public</x:v>
      </x:c>
      <x:c r="J33" s="30" t="str">
        <x:v>Active</x:v>
      </x:c>
      <x:c r="K33" s="30" t="str">
        <x:v>https://www.latrobe.edu.au/</x:v>
      </x:c>
      <x:c r="L33" s="32" t="str">
        <x:v>https://www.teqsa.gov.au/national-register | https://universitiesaustralia.edu.au/our-universities/university-profiles/</x:v>
      </x:c>
    </x:row>
    <x:row r="34" ht="28" customHeight="1">
      <x:c r="A34" s="30" t="str">
        <x:v>INS-AUS-0030</x:v>
      </x:c>
      <x:c r="B34" s="30"/>
      <x:c r="C34" s="32" t="str">
        <x:v>Monash University</x:v>
      </x:c>
      <x:c r="D34" s="32" t="str">
        <x:v>Monash University</x:v>
      </x:c>
      <x:c r="E34" s="30" t="str">
        <x:v>Australia</x:v>
      </x:c>
      <x:c r="F34" s="30" t="str">
        <x:v>AUS</x:v>
      </x:c>
      <x:c r="G34" s="32" t="str">
        <x:v>Melbourne</x:v>
      </x:c>
      <x:c r="H34" s="32" t="str">
        <x:v>University</x:v>
      </x:c>
      <x:c r="I34" s="30" t="str">
        <x:v>Public</x:v>
      </x:c>
      <x:c r="J34" s="30" t="str">
        <x:v>Active</x:v>
      </x:c>
      <x:c r="K34" s="30" t="str">
        <x:v>https://www.monash.edu/</x:v>
      </x:c>
      <x:c r="L34" s="32" t="str">
        <x:v>https://www.teqsa.gov.au/national-register | https://universitiesaustralia.edu.au/our-universities/university-profiles/</x:v>
      </x:c>
    </x:row>
    <x:row r="35" ht="28" customHeight="1">
      <x:c r="A35" s="30" t="str">
        <x:v>INS-AUS-0031</x:v>
      </x:c>
      <x:c r="B35" s="30"/>
      <x:c r="C35" s="32" t="str">
        <x:v>RMIT University</x:v>
      </x:c>
      <x:c r="D35" s="32" t="str">
        <x:v>RMIT University</x:v>
      </x:c>
      <x:c r="E35" s="30" t="str">
        <x:v>Australia</x:v>
      </x:c>
      <x:c r="F35" s="30" t="str">
        <x:v>AUS</x:v>
      </x:c>
      <x:c r="G35" s="32" t="str">
        <x:v>Melbourne</x:v>
      </x:c>
      <x:c r="H35" s="32" t="str">
        <x:v>Technical University</x:v>
      </x:c>
      <x:c r="I35" s="30" t="str">
        <x:v>Public</x:v>
      </x:c>
      <x:c r="J35" s="30" t="str">
        <x:v>Active</x:v>
      </x:c>
      <x:c r="K35" s="30" t="str">
        <x:v>https://www.rmit.edu.au/</x:v>
      </x:c>
      <x:c r="L35" s="32" t="str">
        <x:v>https://www.teqsa.gov.au/national-register | https://universitiesaustralia.edu.au/our-universities/university-profiles/</x:v>
      </x:c>
    </x:row>
    <x:row r="36" ht="28" customHeight="1">
      <x:c r="A36" s="30" t="str">
        <x:v>INS-AUS-0032</x:v>
      </x:c>
      <x:c r="B36" s="30"/>
      <x:c r="C36" s="32" t="str">
        <x:v>Swinburne University of Technology</x:v>
      </x:c>
      <x:c r="D36" s="32" t="str">
        <x:v>Swinburne University of Technology</x:v>
      </x:c>
      <x:c r="E36" s="30" t="str">
        <x:v>Australia</x:v>
      </x:c>
      <x:c r="F36" s="30" t="str">
        <x:v>AUS</x:v>
      </x:c>
      <x:c r="G36" s="32" t="str">
        <x:v>Melbourne</x:v>
      </x:c>
      <x:c r="H36" s="32" t="str">
        <x:v>Technical University</x:v>
      </x:c>
      <x:c r="I36" s="30" t="str">
        <x:v>Public</x:v>
      </x:c>
      <x:c r="J36" s="30" t="str">
        <x:v>Active</x:v>
      </x:c>
      <x:c r="K36" s="30" t="str">
        <x:v>https://www.swinburne.edu.au/</x:v>
      </x:c>
      <x:c r="L36" s="32" t="str">
        <x:v>https://www.teqsa.gov.au/national-register | https://universitiesaustralia.edu.au/our-universities/university-profiles/</x:v>
      </x:c>
    </x:row>
    <x:row r="37" ht="28" customHeight="1">
      <x:c r="A37" s="30" t="str">
        <x:v>INS-AUS-0033</x:v>
      </x:c>
      <x:c r="B37" s="30"/>
      <x:c r="C37" s="32" t="str">
        <x:v>The University of Melbourne</x:v>
      </x:c>
      <x:c r="D37" s="32" t="str">
        <x:v>The University of Melbourne</x:v>
      </x:c>
      <x:c r="E37" s="30" t="str">
        <x:v>Australia</x:v>
      </x:c>
      <x:c r="F37" s="30" t="str">
        <x:v>AUS</x:v>
      </x:c>
      <x:c r="G37" s="32" t="str">
        <x:v>Melbourne</x:v>
      </x:c>
      <x:c r="H37" s="32" t="str">
        <x:v>University</x:v>
      </x:c>
      <x:c r="I37" s="30" t="str">
        <x:v>Public</x:v>
      </x:c>
      <x:c r="J37" s="30" t="str">
        <x:v>Active</x:v>
      </x:c>
      <x:c r="K37" s="30" t="str">
        <x:v>https://www.unimelb.edu.au/</x:v>
      </x:c>
      <x:c r="L37" s="32" t="str">
        <x:v>https://www.teqsa.gov.au/national-register | https://universitiesaustralia.edu.au/our-universities/university-profiles/</x:v>
      </x:c>
    </x:row>
    <x:row r="38" ht="28" customHeight="1">
      <x:c r="A38" s="30" t="str">
        <x:v>INS-AUS-0034</x:v>
      </x:c>
      <x:c r="B38" s="30"/>
      <x:c r="C38" s="32" t="str">
        <x:v>Victoria University</x:v>
      </x:c>
      <x:c r="D38" s="32" t="str">
        <x:v>Victoria University</x:v>
      </x:c>
      <x:c r="E38" s="30" t="str">
        <x:v>Australia</x:v>
      </x:c>
      <x:c r="F38" s="30" t="str">
        <x:v>AUS</x:v>
      </x:c>
      <x:c r="G38" s="32" t="str">
        <x:v>Melbourne</x:v>
      </x:c>
      <x:c r="H38" s="32" t="str">
        <x:v>University</x:v>
      </x:c>
      <x:c r="I38" s="30" t="str">
        <x:v>Public</x:v>
      </x:c>
      <x:c r="J38" s="30" t="str">
        <x:v>Active</x:v>
      </x:c>
      <x:c r="K38" s="30" t="str">
        <x:v>https://www.vu.edu.au/</x:v>
      </x:c>
      <x:c r="L38" s="32" t="str">
        <x:v>https://www.teqsa.gov.au/national-register | https://universitiesaustralia.edu.au/our-universities/university-profiles/</x:v>
      </x:c>
    </x:row>
    <x:row r="39" ht="28" customHeight="1">
      <x:c r="A39" s="30" t="str">
        <x:v>INS-AUS-0035</x:v>
      </x:c>
      <x:c r="B39" s="30"/>
      <x:c r="C39" s="32" t="str">
        <x:v>Curtin University</x:v>
      </x:c>
      <x:c r="D39" s="32" t="str">
        <x:v>Curtin University</x:v>
      </x:c>
      <x:c r="E39" s="30" t="str">
        <x:v>Australia</x:v>
      </x:c>
      <x:c r="F39" s="30" t="str">
        <x:v>AUS</x:v>
      </x:c>
      <x:c r="G39" s="32" t="str">
        <x:v>Perth</x:v>
      </x:c>
      <x:c r="H39" s="32" t="str">
        <x:v>University</x:v>
      </x:c>
      <x:c r="I39" s="30" t="str">
        <x:v>Public</x:v>
      </x:c>
      <x:c r="J39" s="30" t="str">
        <x:v>Active</x:v>
      </x:c>
      <x:c r="K39" s="30" t="str">
        <x:v>https://www.curtin.edu.au/</x:v>
      </x:c>
      <x:c r="L39" s="32" t="str">
        <x:v>https://www.teqsa.gov.au/national-register | https://universitiesaustralia.edu.au/our-universities/university-profiles/</x:v>
      </x:c>
    </x:row>
    <x:row r="40" ht="28" customHeight="1">
      <x:c r="A40" s="30" t="str">
        <x:v>INS-AUS-0036</x:v>
      </x:c>
      <x:c r="B40" s="30"/>
      <x:c r="C40" s="32" t="str">
        <x:v>Edith Cowan University</x:v>
      </x:c>
      <x:c r="D40" s="32" t="str">
        <x:v>Edith Cowan University</x:v>
      </x:c>
      <x:c r="E40" s="30" t="str">
        <x:v>Australia</x:v>
      </x:c>
      <x:c r="F40" s="30" t="str">
        <x:v>AUS</x:v>
      </x:c>
      <x:c r="G40" s="32" t="str">
        <x:v>Perth</x:v>
      </x:c>
      <x:c r="H40" s="32" t="str">
        <x:v>University</x:v>
      </x:c>
      <x:c r="I40" s="30" t="str">
        <x:v>Public</x:v>
      </x:c>
      <x:c r="J40" s="30" t="str">
        <x:v>Active</x:v>
      </x:c>
      <x:c r="K40" s="30" t="str">
        <x:v>https://www.ecu.edu.au/</x:v>
      </x:c>
      <x:c r="L40" s="32" t="str">
        <x:v>https://www.teqsa.gov.au/national-register | https://universitiesaustralia.edu.au/our-universities/university-profiles/</x:v>
      </x:c>
    </x:row>
    <x:row r="41" ht="28" customHeight="1">
      <x:c r="A41" s="30" t="str">
        <x:v>INS-AUS-0037</x:v>
      </x:c>
      <x:c r="B41" s="30"/>
      <x:c r="C41" s="32" t="str">
        <x:v>Murdoch University</x:v>
      </x:c>
      <x:c r="D41" s="32" t="str">
        <x:v>Murdoch University</x:v>
      </x:c>
      <x:c r="E41" s="30" t="str">
        <x:v>Australia</x:v>
      </x:c>
      <x:c r="F41" s="30" t="str">
        <x:v>AUS</x:v>
      </x:c>
      <x:c r="G41" s="32" t="str">
        <x:v>Perth</x:v>
      </x:c>
      <x:c r="H41" s="32" t="str">
        <x:v>University</x:v>
      </x:c>
      <x:c r="I41" s="30" t="str">
        <x:v>Public</x:v>
      </x:c>
      <x:c r="J41" s="30" t="str">
        <x:v>Active</x:v>
      </x:c>
      <x:c r="K41" s="30" t="str">
        <x:v>https://www.murdoch.edu.au/</x:v>
      </x:c>
      <x:c r="L41" s="32" t="str">
        <x:v>https://www.teqsa.gov.au/national-register | https://universitiesaustralia.edu.au/our-universities/university-profiles/</x:v>
      </x:c>
    </x:row>
    <x:row r="42" ht="28" customHeight="1">
      <x:c r="A42" s="30" t="str">
        <x:v>INS-AUS-0038</x:v>
      </x:c>
      <x:c r="B42" s="30"/>
      <x:c r="C42" s="32" t="str">
        <x:v>The University of Western Australia</x:v>
      </x:c>
      <x:c r="D42" s="32" t="str">
        <x:v>The University of Western Australia</x:v>
      </x:c>
      <x:c r="E42" s="30" t="str">
        <x:v>Australia</x:v>
      </x:c>
      <x:c r="F42" s="30" t="str">
        <x:v>AUS</x:v>
      </x:c>
      <x:c r="G42" s="32" t="str">
        <x:v>Perth</x:v>
      </x:c>
      <x:c r="H42" s="32" t="str">
        <x:v>University</x:v>
      </x:c>
      <x:c r="I42" s="30" t="str">
        <x:v>Public</x:v>
      </x:c>
      <x:c r="J42" s="30" t="str">
        <x:v>Active</x:v>
      </x:c>
      <x:c r="K42" s="30" t="str">
        <x:v>https://www.uwa.edu.au/</x:v>
      </x:c>
      <x:c r="L42" s="32" t="str">
        <x:v>https://www.teqsa.gov.au/national-register | https://universitiesaustralia.edu.au/our-universities/university-profiles/</x:v>
      </x:c>
    </x:row>
    <x:row r="43" ht="28" customHeight="1">
      <x:c r="A43" s="30" t="str">
        <x:v>INS-AUS-0039</x:v>
      </x:c>
      <x:c r="B43" s="30"/>
      <x:c r="C43" s="32" t="str">
        <x:v>Avondale University</x:v>
      </x:c>
      <x:c r="D43" s="32" t="str">
        <x:v>Avondale University</x:v>
      </x:c>
      <x:c r="E43" s="30" t="str">
        <x:v>Australia</x:v>
      </x:c>
      <x:c r="F43" s="30" t="str">
        <x:v>AUS</x:v>
      </x:c>
      <x:c r="G43" s="32" t="str">
        <x:v>Cooranbong</x:v>
      </x:c>
      <x:c r="H43" s="32" t="str">
        <x:v>University</x:v>
      </x:c>
      <x:c r="I43" s="30" t="str">
        <x:v>Private</x:v>
      </x:c>
      <x:c r="J43" s="30" t="str">
        <x:v>Active</x:v>
      </x:c>
      <x:c r="K43" s="30" t="str">
        <x:v>https://www.avondale.edu.au/</x:v>
      </x:c>
      <x:c r="L43" s="32" t="str">
        <x:v>https://www.teqsa.gov.au/national-register | https://universitiesaustralia.edu.au/our-universities/university-profiles/</x:v>
      </x:c>
    </x:row>
    <x:row r="44" ht="28" customHeight="1">
      <x:c r="A44" s="30" t="str">
        <x:v>INS-AUS-0040</x:v>
      </x:c>
      <x:c r="B44" s="30"/>
      <x:c r="C44" s="32" t="str">
        <x:v>Torrens University Australia</x:v>
      </x:c>
      <x:c r="D44" s="32" t="str">
        <x:v>Torrens University Australia</x:v>
      </x:c>
      <x:c r="E44" s="30" t="str">
        <x:v>Australia</x:v>
      </x:c>
      <x:c r="F44" s="30" t="str">
        <x:v>AUS</x:v>
      </x:c>
      <x:c r="G44" s="32" t="str">
        <x:v>Sydney</x:v>
      </x:c>
      <x:c r="H44" s="32" t="str">
        <x:v>University</x:v>
      </x:c>
      <x:c r="I44" s="30" t="str">
        <x:v>Private</x:v>
      </x:c>
      <x:c r="J44" s="30" t="str">
        <x:v>Active</x:v>
      </x:c>
      <x:c r="K44" s="30" t="str">
        <x:v>https://www.torrens.edu.au/</x:v>
      </x:c>
      <x:c r="L44" s="32" t="str">
        <x:v>https://www.teqsa.gov.au/national-register | https://universitiesaustralia.edu.au/our-universities/university-profiles/</x:v>
      </x:c>
    </x:row>
    <x:row r="45" ht="28" customHeight="1">
      <x:c r="A45" s="30" t="str">
        <x:v>INS-AUS-0041</x:v>
      </x:c>
      <x:c r="B45" s="30"/>
      <x:c r="C45" s="32" t="str">
        <x:v>University of Divinity</x:v>
      </x:c>
      <x:c r="D45" s="32" t="str">
        <x:v>University of Divinity</x:v>
      </x:c>
      <x:c r="E45" s="30" t="str">
        <x:v>Australia</x:v>
      </x:c>
      <x:c r="F45" s="30" t="str">
        <x:v>AUS</x:v>
      </x:c>
      <x:c r="G45" s="32" t="str">
        <x:v>Melbourne</x:v>
      </x:c>
      <x:c r="H45" s="32" t="str">
        <x:v>Theological University</x:v>
      </x:c>
      <x:c r="I45" s="30" t="str">
        <x:v>Private</x:v>
      </x:c>
      <x:c r="J45" s="30" t="str">
        <x:v>Active</x:v>
      </x:c>
      <x:c r="K45" s="30" t="str">
        <x:v>https://divinity.edu.au/</x:v>
      </x:c>
      <x:c r="L45" s="32" t="str">
        <x:v>https://www.teqsa.gov.au/national-register | https://universitiesaustralia.edu.au/our-universities/university-profiles/</x:v>
      </x:c>
    </x:row>
    <x:row r="46" ht="28" customHeight="1">
      <x:c r="A46" s="30" t="str">
        <x:v>INS-AUS-0042</x:v>
      </x:c>
      <x:c r="B46" s="30"/>
      <x:c r="C46" s="32" t="str">
        <x:v>Australian University of Theology</x:v>
      </x:c>
      <x:c r="D46" s="32" t="str">
        <x:v>Australian University of Theology</x:v>
      </x:c>
      <x:c r="E46" s="30" t="str">
        <x:v>Australia</x:v>
      </x:c>
      <x:c r="F46" s="30" t="str">
        <x:v>AUS</x:v>
      </x:c>
      <x:c r="G46" s="32" t="str">
        <x:v>Sydney</x:v>
      </x:c>
      <x:c r="H46" s="32" t="str">
        <x:v>Theological University</x:v>
      </x:c>
      <x:c r="I46" s="30" t="str">
        <x:v>Private</x:v>
      </x:c>
      <x:c r="J46" s="30" t="str">
        <x:v>Active</x:v>
      </x:c>
      <x:c r="K46" s="30" t="str">
        <x:v>https://aut.edu.au/</x:v>
      </x:c>
      <x:c r="L46" s="32" t="str">
        <x:v>https://www.teqsa.gov.au/national-register | https://universitiesaustralia.edu.au/our-universities/university-profiles/</x:v>
      </x:c>
    </x:row>
    <x:row r="47" ht="28" customHeight="1">
      <x:c r="A47" s="34" t="str">
        <x:v>INS-NZL-0001</x:v>
      </x:c>
      <x:c r="B47" s="34"/>
      <x:c r="C47" s="35" t="str">
        <x:v>University of Auckland</x:v>
      </x:c>
      <x:c r="D47" s="35" t="str">
        <x:v>University of Auckland</x:v>
      </x:c>
      <x:c r="E47" s="34" t="str">
        <x:v>New Zealand</x:v>
      </x:c>
      <x:c r="F47" s="34" t="str">
        <x:v>NZL</x:v>
      </x:c>
      <x:c r="G47" s="35" t="str">
        <x:v>Auckland</x:v>
      </x:c>
      <x:c r="H47" s="35" t="str">
        <x:v>University</x:v>
      </x:c>
      <x:c r="I47" s="34" t="str">
        <x:v>Public</x:v>
      </x:c>
      <x:c r="J47" s="34" t="str">
        <x:v>Active</x:v>
      </x:c>
      <x:c r="K47" s="34" t="str">
        <x:v>https://www.auckland.ac.nz/</x:v>
      </x:c>
      <x:c r="L47" s="35" t="str">
        <x:v>https://www.universitiesnz.ac.nz/universities</x:v>
      </x:c>
    </x:row>
    <x:row r="48" ht="28" customHeight="1">
      <x:c r="A48" s="34" t="str">
        <x:v>INS-NZL-0002</x:v>
      </x:c>
      <x:c r="B48" s="34"/>
      <x:c r="C48" s="35" t="str">
        <x:v>Auckland University of Technology</x:v>
      </x:c>
      <x:c r="D48" s="35" t="str">
        <x:v>Auckland University of Technology</x:v>
      </x:c>
      <x:c r="E48" s="34" t="str">
        <x:v>New Zealand</x:v>
      </x:c>
      <x:c r="F48" s="34" t="str">
        <x:v>NZL</x:v>
      </x:c>
      <x:c r="G48" s="35" t="str">
        <x:v>Auckland</x:v>
      </x:c>
      <x:c r="H48" s="35" t="str">
        <x:v>Technical University</x:v>
      </x:c>
      <x:c r="I48" s="34" t="str">
        <x:v>Public</x:v>
      </x:c>
      <x:c r="J48" s="34" t="str">
        <x:v>Active</x:v>
      </x:c>
      <x:c r="K48" s="34" t="str">
        <x:v>https://www.aut.ac.nz/</x:v>
      </x:c>
      <x:c r="L48" s="35" t="str">
        <x:v>https://www.universitiesnz.ac.nz/universities</x:v>
      </x:c>
    </x:row>
    <x:row r="49" ht="28" customHeight="1">
      <x:c r="A49" s="34" t="str">
        <x:v>INS-NZL-0003</x:v>
      </x:c>
      <x:c r="B49" s="34"/>
      <x:c r="C49" s="35" t="str">
        <x:v>University of Waikato</x:v>
      </x:c>
      <x:c r="D49" s="35" t="str">
        <x:v>University of Waikato</x:v>
      </x:c>
      <x:c r="E49" s="34" t="str">
        <x:v>New Zealand</x:v>
      </x:c>
      <x:c r="F49" s="34" t="str">
        <x:v>NZL</x:v>
      </x:c>
      <x:c r="G49" s="35" t="str">
        <x:v>Hamilton</x:v>
      </x:c>
      <x:c r="H49" s="35" t="str">
        <x:v>University</x:v>
      </x:c>
      <x:c r="I49" s="34" t="str">
        <x:v>Public</x:v>
      </x:c>
      <x:c r="J49" s="34" t="str">
        <x:v>Active</x:v>
      </x:c>
      <x:c r="K49" s="34" t="str">
        <x:v>https://www.waikato.ac.nz/</x:v>
      </x:c>
      <x:c r="L49" s="35" t="str">
        <x:v>https://www.universitiesnz.ac.nz/universities</x:v>
      </x:c>
    </x:row>
    <x:row r="50" ht="28" customHeight="1">
      <x:c r="A50" s="34" t="str">
        <x:v>INS-NZL-0004</x:v>
      </x:c>
      <x:c r="B50" s="34"/>
      <x:c r="C50" s="35" t="str">
        <x:v>Massey University</x:v>
      </x:c>
      <x:c r="D50" s="35" t="str">
        <x:v>Massey University</x:v>
      </x:c>
      <x:c r="E50" s="34" t="str">
        <x:v>New Zealand</x:v>
      </x:c>
      <x:c r="F50" s="34" t="str">
        <x:v>NZL</x:v>
      </x:c>
      <x:c r="G50" s="35" t="str">
        <x:v>Palmerston North</x:v>
      </x:c>
      <x:c r="H50" s="35" t="str">
        <x:v>University</x:v>
      </x:c>
      <x:c r="I50" s="34" t="str">
        <x:v>Public</x:v>
      </x:c>
      <x:c r="J50" s="34" t="str">
        <x:v>Active</x:v>
      </x:c>
      <x:c r="K50" s="34" t="str">
        <x:v>https://www.massey.ac.nz/</x:v>
      </x:c>
      <x:c r="L50" s="35" t="str">
        <x:v>https://www.universitiesnz.ac.nz/universities</x:v>
      </x:c>
    </x:row>
    <x:row r="51" ht="28" customHeight="1">
      <x:c r="A51" s="34" t="str">
        <x:v>INS-NZL-0005</x:v>
      </x:c>
      <x:c r="B51" s="34"/>
      <x:c r="C51" s="35" t="str">
        <x:v>Victoria University of Wellington</x:v>
      </x:c>
      <x:c r="D51" s="35" t="str">
        <x:v>Victoria University of Wellington</x:v>
      </x:c>
      <x:c r="E51" s="34" t="str">
        <x:v>New Zealand</x:v>
      </x:c>
      <x:c r="F51" s="34" t="str">
        <x:v>NZL</x:v>
      </x:c>
      <x:c r="G51" s="35" t="str">
        <x:v>Wellington</x:v>
      </x:c>
      <x:c r="H51" s="35" t="str">
        <x:v>University</x:v>
      </x:c>
      <x:c r="I51" s="34" t="str">
        <x:v>Public</x:v>
      </x:c>
      <x:c r="J51" s="34" t="str">
        <x:v>Active</x:v>
      </x:c>
      <x:c r="K51" s="34" t="str">
        <x:v>https://www.wgtn.ac.nz/</x:v>
      </x:c>
      <x:c r="L51" s="35" t="str">
        <x:v>https://www.universitiesnz.ac.nz/universities</x:v>
      </x:c>
    </x:row>
    <x:row r="52" ht="28" customHeight="1">
      <x:c r="A52" s="34" t="str">
        <x:v>INS-NZL-0006</x:v>
      </x:c>
      <x:c r="B52" s="34"/>
      <x:c r="C52" s="35" t="str">
        <x:v>University of Canterbury</x:v>
      </x:c>
      <x:c r="D52" s="35" t="str">
        <x:v>University of Canterbury</x:v>
      </x:c>
      <x:c r="E52" s="34" t="str">
        <x:v>New Zealand</x:v>
      </x:c>
      <x:c r="F52" s="34" t="str">
        <x:v>NZL</x:v>
      </x:c>
      <x:c r="G52" s="35" t="str">
        <x:v>Christchurch</x:v>
      </x:c>
      <x:c r="H52" s="35" t="str">
        <x:v>University</x:v>
      </x:c>
      <x:c r="I52" s="34" t="str">
        <x:v>Public</x:v>
      </x:c>
      <x:c r="J52" s="34" t="str">
        <x:v>Active</x:v>
      </x:c>
      <x:c r="K52" s="34" t="str">
        <x:v>https://www.canterbury.ac.nz/</x:v>
      </x:c>
      <x:c r="L52" s="35" t="str">
        <x:v>https://www.universitiesnz.ac.nz/universities</x:v>
      </x:c>
    </x:row>
    <x:row r="53" ht="28" customHeight="1">
      <x:c r="A53" s="34" t="str">
        <x:v>INS-NZL-0007</x:v>
      </x:c>
      <x:c r="B53" s="34"/>
      <x:c r="C53" s="35" t="str">
        <x:v>Lincoln University</x:v>
      </x:c>
      <x:c r="D53" s="35" t="str">
        <x:v>Lincoln University</x:v>
      </x:c>
      <x:c r="E53" s="34" t="str">
        <x:v>New Zealand</x:v>
      </x:c>
      <x:c r="F53" s="34" t="str">
        <x:v>NZL</x:v>
      </x:c>
      <x:c r="G53" s="35" t="str">
        <x:v>Lincoln</x:v>
      </x:c>
      <x:c r="H53" s="35" t="str">
        <x:v>Agricultural University</x:v>
      </x:c>
      <x:c r="I53" s="34" t="str">
        <x:v>Public</x:v>
      </x:c>
      <x:c r="J53" s="34" t="str">
        <x:v>Active</x:v>
      </x:c>
      <x:c r="K53" s="34" t="str">
        <x:v>https://www.lincoln.ac.nz/</x:v>
      </x:c>
      <x:c r="L53" s="35" t="str">
        <x:v>https://www.universitiesnz.ac.nz/universities</x:v>
      </x:c>
    </x:row>
    <x:row r="54" ht="28" customHeight="1">
      <x:c r="A54" s="34" t="str">
        <x:v>INS-NZL-0008</x:v>
      </x:c>
      <x:c r="B54" s="34"/>
      <x:c r="C54" s="35" t="str">
        <x:v>University of Otago</x:v>
      </x:c>
      <x:c r="D54" s="35" t="str">
        <x:v>University of Otago</x:v>
      </x:c>
      <x:c r="E54" s="34" t="str">
        <x:v>New Zealand</x:v>
      </x:c>
      <x:c r="F54" s="34" t="str">
        <x:v>NZL</x:v>
      </x:c>
      <x:c r="G54" s="35" t="str">
        <x:v>Dunedin</x:v>
      </x:c>
      <x:c r="H54" s="35" t="str">
        <x:v>University</x:v>
      </x:c>
      <x:c r="I54" s="34" t="str">
        <x:v>Public</x:v>
      </x:c>
      <x:c r="J54" s="34" t="str">
        <x:v>Active</x:v>
      </x:c>
      <x:c r="K54" s="34" t="str">
        <x:v>https://www.otago.ac.nz/</x:v>
      </x:c>
      <x:c r="L54" s="35" t="str">
        <x:v>https://www.universitiesnz.ac.nz/universities</x:v>
      </x:c>
    </x:row>
    <x:row r="55" ht="28" customHeight="1">
      <x:c r="A55" s="30" t="str">
        <x:v>INS-PNG-0001</x:v>
      </x:c>
      <x:c r="B55" s="30"/>
      <x:c r="C55" s="32" t="str">
        <x:v>University of Papua New Guinea</x:v>
      </x:c>
      <x:c r="D55" s="32" t="str">
        <x:v>University of Papua New Guinea</x:v>
      </x:c>
      <x:c r="E55" s="30" t="str">
        <x:v>Papua New Guinea</x:v>
      </x:c>
      <x:c r="F55" s="30" t="str">
        <x:v>PNG</x:v>
      </x:c>
      <x:c r="G55" s="32" t="str">
        <x:v>Port Moresby</x:v>
      </x:c>
      <x:c r="H55" s="32" t="str">
        <x:v>University</x:v>
      </x:c>
      <x:c r="I55" s="30" t="str">
        <x:v>Public</x:v>
      </x:c>
      <x:c r="J55" s="30" t="str">
        <x:v>Active</x:v>
      </x:c>
      <x:c r="K55" s="30" t="str">
        <x:v>https://www.upng.ac.pg/</x:v>
      </x:c>
      <x:c r="L55" s="32" t="str">
        <x:v>https://apply.dherst.gov.pg/ | https://web.dherst.gov.pg/</x:v>
      </x:c>
    </x:row>
    <x:row r="56" ht="28" customHeight="1">
      <x:c r="A56" s="30" t="str">
        <x:v>INS-PNG-0002</x:v>
      </x:c>
      <x:c r="B56" s="30"/>
      <x:c r="C56" s="32" t="str">
        <x:v>Papua New Guinea University of Technology</x:v>
      </x:c>
      <x:c r="D56" s="32" t="str">
        <x:v>Papua New Guinea University of Technology</x:v>
      </x:c>
      <x:c r="E56" s="30" t="str">
        <x:v>Papua New Guinea</x:v>
      </x:c>
      <x:c r="F56" s="30" t="str">
        <x:v>PNG</x:v>
      </x:c>
      <x:c r="G56" s="32" t="str">
        <x:v>Lae</x:v>
      </x:c>
      <x:c r="H56" s="32" t="str">
        <x:v>Technical University</x:v>
      </x:c>
      <x:c r="I56" s="30" t="str">
        <x:v>Public</x:v>
      </x:c>
      <x:c r="J56" s="30" t="str">
        <x:v>Active</x:v>
      </x:c>
      <x:c r="K56" s="30" t="str">
        <x:v>https://www.unitech.ac.pg/</x:v>
      </x:c>
      <x:c r="L56" s="32" t="str">
        <x:v>https://apply.dherst.gov.pg/ | https://web.dherst.gov.pg/</x:v>
      </x:c>
    </x:row>
    <x:row r="57" ht="28" customHeight="1">
      <x:c r="A57" s="30" t="str">
        <x:v>INS-PNG-0003</x:v>
      </x:c>
      <x:c r="B57" s="30"/>
      <x:c r="C57" s="32" t="str">
        <x:v>University of Goroka</x:v>
      </x:c>
      <x:c r="D57" s="32" t="str">
        <x:v>University of Goroka</x:v>
      </x:c>
      <x:c r="E57" s="30" t="str">
        <x:v>Papua New Guinea</x:v>
      </x:c>
      <x:c r="F57" s="30" t="str">
        <x:v>PNG</x:v>
      </x:c>
      <x:c r="G57" s="32" t="str">
        <x:v>Goroka</x:v>
      </x:c>
      <x:c r="H57" s="32" t="str">
        <x:v>University</x:v>
      </x:c>
      <x:c r="I57" s="30" t="str">
        <x:v>Public</x:v>
      </x:c>
      <x:c r="J57" s="30" t="str">
        <x:v>Active</x:v>
      </x:c>
      <x:c r="K57" s="30" t="str">
        <x:v>https://www.unigoroka.ac.pg/</x:v>
      </x:c>
      <x:c r="L57" s="32" t="str">
        <x:v>https://apply.dherst.gov.pg/ | https://web.dherst.gov.pg/</x:v>
      </x:c>
    </x:row>
    <x:row r="58" ht="28" customHeight="1">
      <x:c r="A58" s="30" t="str">
        <x:v>INS-PNG-0004</x:v>
      </x:c>
      <x:c r="B58" s="30"/>
      <x:c r="C58" s="32" t="str">
        <x:v>Papua New Guinea University of Natural Resources and Environment</x:v>
      </x:c>
      <x:c r="D58" s="32" t="str">
        <x:v>Papua New Guinea University of Natural Resources and Environment</x:v>
      </x:c>
      <x:c r="E58" s="30" t="str">
        <x:v>Papua New Guinea</x:v>
      </x:c>
      <x:c r="F58" s="30" t="str">
        <x:v>PNG</x:v>
      </x:c>
      <x:c r="G58" s="32" t="str">
        <x:v>Vudal</x:v>
      </x:c>
      <x:c r="H58" s="32" t="str">
        <x:v>Agricultural University</x:v>
      </x:c>
      <x:c r="I58" s="30" t="str">
        <x:v>Public</x:v>
      </x:c>
      <x:c r="J58" s="30" t="str">
        <x:v>Active</x:v>
      </x:c>
      <x:c r="K58" s="30" t="str">
        <x:v>https://www.unre.ac.pg/</x:v>
      </x:c>
      <x:c r="L58" s="32" t="str">
        <x:v>https://apply.dherst.gov.pg/ | https://web.dherst.gov.pg/</x:v>
      </x:c>
    </x:row>
    <x:row r="59" ht="28" customHeight="1">
      <x:c r="A59" s="30" t="str">
        <x:v>INS-PNG-0005</x:v>
      </x:c>
      <x:c r="B59" s="30"/>
      <x:c r="C59" s="32" t="str">
        <x:v>Divine Word University</x:v>
      </x:c>
      <x:c r="D59" s="32" t="str">
        <x:v>Divine Word University</x:v>
      </x:c>
      <x:c r="E59" s="30" t="str">
        <x:v>Papua New Guinea</x:v>
      </x:c>
      <x:c r="F59" s="30" t="str">
        <x:v>PNG</x:v>
      </x:c>
      <x:c r="G59" s="32" t="str">
        <x:v>Madang</x:v>
      </x:c>
      <x:c r="H59" s="32" t="str">
        <x:v>University</x:v>
      </x:c>
      <x:c r="I59" s="30" t="str">
        <x:v>Private</x:v>
      </x:c>
      <x:c r="J59" s="30" t="str">
        <x:v>Active</x:v>
      </x:c>
      <x:c r="K59" s="30" t="str">
        <x:v>https://www.dwu.ac.pg/</x:v>
      </x:c>
      <x:c r="L59" s="32" t="str">
        <x:v>https://apply.dherst.gov.pg/ | https://web.dherst.gov.pg/</x:v>
      </x:c>
    </x:row>
    <x:row r="60" ht="28" customHeight="1">
      <x:c r="A60" s="30" t="str">
        <x:v>INS-PNG-0006</x:v>
      </x:c>
      <x:c r="B60" s="30"/>
      <x:c r="C60" s="32" t="str">
        <x:v>Pacific Adventist University</x:v>
      </x:c>
      <x:c r="D60" s="32" t="str">
        <x:v>Pacific Adventist University</x:v>
      </x:c>
      <x:c r="E60" s="30" t="str">
        <x:v>Papua New Guinea</x:v>
      </x:c>
      <x:c r="F60" s="30" t="str">
        <x:v>PNG</x:v>
      </x:c>
      <x:c r="G60" s="32" t="str">
        <x:v>Port Moresby</x:v>
      </x:c>
      <x:c r="H60" s="32" t="str">
        <x:v>University</x:v>
      </x:c>
      <x:c r="I60" s="30" t="str">
        <x:v>Private</x:v>
      </x:c>
      <x:c r="J60" s="30" t="str">
        <x:v>Active</x:v>
      </x:c>
      <x:c r="K60" s="30" t="str">
        <x:v>https://www.pau.ac.pg/</x:v>
      </x:c>
      <x:c r="L60" s="32" t="str">
        <x:v>https://apply.dherst.gov.pg/ | https://web.dherst.gov.pg/</x:v>
      </x:c>
    </x:row>
    <x:row r="61" ht="28" customHeight="1">
      <x:c r="A61" s="30" t="str">
        <x:v>INS-PNG-0007</x:v>
      </x:c>
      <x:c r="B61" s="30"/>
      <x:c r="C61" s="32" t="str">
        <x:v>IBS University</x:v>
      </x:c>
      <x:c r="D61" s="32" t="str">
        <x:v>IBS University</x:v>
      </x:c>
      <x:c r="E61" s="30" t="str">
        <x:v>Papua New Guinea</x:v>
      </x:c>
      <x:c r="F61" s="30" t="str">
        <x:v>PNG</x:v>
      </x:c>
      <x:c r="G61" s="32" t="str">
        <x:v>Port Moresby</x:v>
      </x:c>
      <x:c r="H61" s="32" t="str">
        <x:v>University</x:v>
      </x:c>
      <x:c r="I61" s="30" t="str">
        <x:v>Private</x:v>
      </x:c>
      <x:c r="J61" s="30" t="str">
        <x:v>Active</x:v>
      </x:c>
      <x:c r="K61" s="30" t="str">
        <x:v>https://www.ibsu.ac.pg/</x:v>
      </x:c>
      <x:c r="L61" s="32" t="str">
        <x:v>https://apply.dherst.gov.pg/ | https://web.dherst.gov.pg/</x:v>
      </x:c>
    </x:row>
    <x:row r="62" ht="28" customHeight="1">
      <x:c r="A62" s="30" t="str">
        <x:v>INS-PNG-0008</x:v>
      </x:c>
      <x:c r="B62" s="30"/>
      <x:c r="C62" s="32" t="str">
        <x:v>Western Pacific University</x:v>
      </x:c>
      <x:c r="D62" s="32" t="str">
        <x:v>Western Pacific University</x:v>
      </x:c>
      <x:c r="E62" s="30" t="str">
        <x:v>Papua New Guinea</x:v>
      </x:c>
      <x:c r="F62" s="30" t="str">
        <x:v>PNG</x:v>
      </x:c>
      <x:c r="G62" s="32" t="str">
        <x:v>Ialibu</x:v>
      </x:c>
      <x:c r="H62" s="32" t="str">
        <x:v>Technical University</x:v>
      </x:c>
      <x:c r="I62" s="30" t="str">
        <x:v>Public</x:v>
      </x:c>
      <x:c r="J62" s="30" t="str">
        <x:v>Active</x:v>
      </x:c>
      <x:c r="K62" s="30" t="str">
        <x:v>https://wpu.ac.pg/</x:v>
      </x:c>
      <x:c r="L62" s="32" t="str">
        <x:v>https://apply.dherst.gov.pg/ | https://web.dherst.gov.pg/</x:v>
      </x:c>
    </x:row>
    <x:row r="63" ht="28" customHeight="1">
      <x:c r="A63" s="30" t="str">
        <x:v>INS-PNG-0009</x:v>
      </x:c>
      <x:c r="B63" s="30"/>
      <x:c r="C63" s="32" t="str">
        <x:v>Innovative University of Enga</x:v>
      </x:c>
      <x:c r="D63" s="32" t="str">
        <x:v>Innovative University of Enga</x:v>
      </x:c>
      <x:c r="E63" s="30" t="str">
        <x:v>Papua New Guinea</x:v>
      </x:c>
      <x:c r="F63" s="30" t="str">
        <x:v>PNG</x:v>
      </x:c>
      <x:c r="G63" s="32" t="str">
        <x:v>Wabag</x:v>
      </x:c>
      <x:c r="H63" s="32" t="str">
        <x:v>University</x:v>
      </x:c>
      <x:c r="I63" s="30" t="str">
        <x:v>Public</x:v>
      </x:c>
      <x:c r="J63" s="30" t="str">
        <x:v>Active</x:v>
      </x:c>
      <x:c r="K63" s="30" t="str">
        <x:v>https://www.iue.ac.pg/</x:v>
      </x:c>
      <x:c r="L63" s="32" t="str">
        <x:v>https://apply.dherst.gov.pg/ | https://web.dherst.gov.pg/</x:v>
      </x:c>
    </x:row>
    <x:row r="64" ht="28" customHeight="1">
      <x:c r="A64" s="30" t="str">
        <x:v>INS-PNG-0010</x:v>
      </x:c>
      <x:c r="B64" s="30"/>
      <x:c r="C64" s="32" t="str">
        <x:v>Lutheran University of Papua New Guinea</x:v>
      </x:c>
      <x:c r="D64" s="32" t="str">
        <x:v>Lutheran University of Papua New Guinea</x:v>
      </x:c>
      <x:c r="E64" s="30" t="str">
        <x:v>Papua New Guinea</x:v>
      </x:c>
      <x:c r="F64" s="30" t="str">
        <x:v>PNG</x:v>
      </x:c>
      <x:c r="G64" s="32" t="str">
        <x:v>Lae</x:v>
      </x:c>
      <x:c r="H64" s="32" t="str">
        <x:v>University</x:v>
      </x:c>
      <x:c r="I64" s="30" t="str">
        <x:v>Private</x:v>
      </x:c>
      <x:c r="J64" s="30" t="str">
        <x:v>Active</x:v>
      </x:c>
      <x:c r="K64" s="30" t="str">
        <x:v>https://www.lupng.ac.pg/</x:v>
      </x:c>
      <x:c r="L64" s="32" t="str">
        <x:v>https://apply.dherst.gov.pg/ | https://web.dherst.gov.pg/</x:v>
      </x:c>
    </x:row>
    <x:row r="65" ht="28" customHeight="1">
      <x:c r="A65" s="34" t="str">
        <x:v>INS-FJI-0001</x:v>
      </x:c>
      <x:c r="B65" s="34"/>
      <x:c r="C65" s="35" t="str">
        <x:v>Fiji National University</x:v>
      </x:c>
      <x:c r="D65" s="35" t="str">
        <x:v>Fiji National University</x:v>
      </x:c>
      <x:c r="E65" s="34" t="str">
        <x:v>Fiji</x:v>
      </x:c>
      <x:c r="F65" s="34" t="str">
        <x:v>FJI</x:v>
      </x:c>
      <x:c r="G65" s="35" t="str">
        <x:v>Nasinu</x:v>
      </x:c>
      <x:c r="H65" s="35" t="str">
        <x:v>University</x:v>
      </x:c>
      <x:c r="I65" s="34" t="str">
        <x:v>Public</x:v>
      </x:c>
      <x:c r="J65" s="34" t="str">
        <x:v>Active</x:v>
      </x:c>
      <x:c r="K65" s="34" t="str">
        <x:v>https://www.fnu.ac.fj/</x:v>
      </x:c>
      <x:c r="L65" s="35" t="str">
        <x:v>https://hec.org.fj/registered-heis/ | https://www.usp.ac.fj/why-usp/</x:v>
      </x:c>
    </x:row>
    <x:row r="66" ht="28" customHeight="1">
      <x:c r="A66" s="34" t="str">
        <x:v>INS-FJI-0002</x:v>
      </x:c>
      <x:c r="B66" s="34"/>
      <x:c r="C66" s="35" t="str">
        <x:v>The University of Fiji</x:v>
      </x:c>
      <x:c r="D66" s="35" t="str">
        <x:v>The University of Fiji</x:v>
      </x:c>
      <x:c r="E66" s="34" t="str">
        <x:v>Fiji</x:v>
      </x:c>
      <x:c r="F66" s="34" t="str">
        <x:v>FJI</x:v>
      </x:c>
      <x:c r="G66" s="35" t="str">
        <x:v>Lautoka</x:v>
      </x:c>
      <x:c r="H66" s="35" t="str">
        <x:v>University</x:v>
      </x:c>
      <x:c r="I66" s="34" t="str">
        <x:v>Private</x:v>
      </x:c>
      <x:c r="J66" s="34" t="str">
        <x:v>Active</x:v>
      </x:c>
      <x:c r="K66" s="34" t="str">
        <x:v>https://www.unifiji.ac.fj/</x:v>
      </x:c>
      <x:c r="L66" s="35" t="str">
        <x:v>https://hec.org.fj/registered-heis/ | https://www.usp.ac.fj/why-usp/</x:v>
      </x:c>
    </x:row>
    <x:row r="67" ht="28" customHeight="1">
      <x:c r="A67" s="34" t="str">
        <x:v>INS-FJI-0003</x:v>
      </x:c>
      <x:c r="B67" s="34"/>
      <x:c r="C67" s="35" t="str">
        <x:v>The University of the South Pacific</x:v>
      </x:c>
      <x:c r="D67" s="35" t="str">
        <x:v>The University of the South Pacific</x:v>
      </x:c>
      <x:c r="E67" s="34" t="str">
        <x:v>Fiji</x:v>
      </x:c>
      <x:c r="F67" s="34" t="str">
        <x:v>FJI</x:v>
      </x:c>
      <x:c r="G67" s="35" t="str">
        <x:v>Suva</x:v>
      </x:c>
      <x:c r="H67" s="35" t="str">
        <x:v>Regional University</x:v>
      </x:c>
      <x:c r="I67" s="34" t="str">
        <x:v>Regional</x:v>
      </x:c>
      <x:c r="J67" s="34" t="str">
        <x:v>Active</x:v>
      </x:c>
      <x:c r="K67" s="34" t="str">
        <x:v>https://www.usp.ac.fj/</x:v>
      </x:c>
      <x:c r="L67" s="35" t="str">
        <x:v>https://hec.org.fj/registered-heis/ | https://www.usp.ac.fj/why-usp/</x:v>
      </x:c>
    </x:row>
    <x:row r="68" ht="28" customHeight="1">
      <x:c r="A68" s="34" t="str">
        <x:v>INS-FJI-0004</x:v>
      </x:c>
      <x:c r="B68" s="34"/>
      <x:c r="C68" s="35" t="str">
        <x:v>Fulton Adventist University College</x:v>
      </x:c>
      <x:c r="D68" s="35" t="str">
        <x:v>Fulton Adventist University College</x:v>
      </x:c>
      <x:c r="E68" s="34" t="str">
        <x:v>Fiji</x:v>
      </x:c>
      <x:c r="F68" s="34" t="str">
        <x:v>FJI</x:v>
      </x:c>
      <x:c r="G68" s="35" t="str">
        <x:v>Nadi</x:v>
      </x:c>
      <x:c r="H68" s="35" t="str">
        <x:v>University College</x:v>
      </x:c>
      <x:c r="I68" s="34" t="str">
        <x:v>Private</x:v>
      </x:c>
      <x:c r="J68" s="34" t="str">
        <x:v>Active</x:v>
      </x:c>
      <x:c r="K68" s="34" t="str">
        <x:v>https://www.fulton.ac.fj/</x:v>
      </x:c>
      <x:c r="L68" s="35" t="str">
        <x:v>https://hec.org.fj/registered-heis/ | https://www.usp.ac.fj/why-usp/</x:v>
      </x:c>
    </x:row>
    <x:row r="69" ht="28" customHeight="1">
      <x:c r="A69" s="30" t="str">
        <x:v>INS-SLB-0001</x:v>
      </x:c>
      <x:c r="B69" s="30"/>
      <x:c r="C69" s="32" t="str">
        <x:v>Solomon Islands National University</x:v>
      </x:c>
      <x:c r="D69" s="32" t="str">
        <x:v>Solomon Islands National University</x:v>
      </x:c>
      <x:c r="E69" s="30" t="str">
        <x:v>Solomon Islands</x:v>
      </x:c>
      <x:c r="F69" s="30" t="str">
        <x:v>SLB</x:v>
      </x:c>
      <x:c r="G69" s="32" t="str">
        <x:v>Honiara</x:v>
      </x:c>
      <x:c r="H69" s="32" t="str">
        <x:v>University</x:v>
      </x:c>
      <x:c r="I69" s="30" t="str">
        <x:v>Public</x:v>
      </x:c>
      <x:c r="J69" s="30" t="str">
        <x:v>Active</x:v>
      </x:c>
      <x:c r="K69" s="30" t="str">
        <x:v>https://www.sinu.edu.sb/</x:v>
      </x:c>
      <x:c r="L69" s="32" t="str">
        <x:v>https://www.sinu.edu.sb/</x:v>
      </x:c>
    </x:row>
    <x:row r="70" ht="28" customHeight="1">
      <x:c r="A70" s="34" t="str">
        <x:v>INS-VUT-0001</x:v>
      </x:c>
      <x:c r="B70" s="34"/>
      <x:c r="C70" s="35" t="str">
        <x:v>National University of Vanuatu</x:v>
      </x:c>
      <x:c r="D70" s="35" t="str">
        <x:v>National University of Vanuatu</x:v>
      </x:c>
      <x:c r="E70" s="34" t="str">
        <x:v>Vanuatu</x:v>
      </x:c>
      <x:c r="F70" s="34" t="str">
        <x:v>VUT</x:v>
      </x:c>
      <x:c r="G70" s="35" t="str">
        <x:v>Port Vila</x:v>
      </x:c>
      <x:c r="H70" s="35" t="str">
        <x:v>University</x:v>
      </x:c>
      <x:c r="I70" s="34" t="str">
        <x:v>Public</x:v>
      </x:c>
      <x:c r="J70" s="34" t="str">
        <x:v>Active</x:v>
      </x:c>
      <x:c r="K70" s="34" t="str">
        <x:v>https://www.univ.edu.vu/</x:v>
      </x:c>
      <x:c r="L70" s="35" t="str">
        <x:v>https://www.univ.edu.vu/</x:v>
      </x:c>
    </x:row>
    <x:row r="71" ht="28" customHeight="1">
      <x:c r="A71" s="30" t="str">
        <x:v>INS-WSM-0001</x:v>
      </x:c>
      <x:c r="B71" s="30"/>
      <x:c r="C71" s="32" t="str">
        <x:v>National University of Samoa</x:v>
      </x:c>
      <x:c r="D71" s="32" t="str">
        <x:v>National University of Samoa</x:v>
      </x:c>
      <x:c r="E71" s="30" t="str">
        <x:v>Samoa</x:v>
      </x:c>
      <x:c r="F71" s="30" t="str">
        <x:v>WSM</x:v>
      </x:c>
      <x:c r="G71" s="32" t="str">
        <x:v>Apia</x:v>
      </x:c>
      <x:c r="H71" s="32" t="str">
        <x:v>University</x:v>
      </x:c>
      <x:c r="I71" s="30" t="str">
        <x:v>Public</x:v>
      </x:c>
      <x:c r="J71" s="30" t="str">
        <x:v>Active</x:v>
      </x:c>
      <x:c r="K71" s="30" t="str">
        <x:v>https://nus.edu.ws/</x:v>
      </x:c>
      <x:c r="L71" s="32" t="str">
        <x:v>https://nus.edu.ws/ | https://oum.edu.ws/about-oum/accreditation/</x:v>
      </x:c>
    </x:row>
    <x:row r="72" ht="28" customHeight="1">
      <x:c r="A72" s="30" t="str">
        <x:v>INS-WSM-0002</x:v>
      </x:c>
      <x:c r="B72" s="30"/>
      <x:c r="C72" s="32" t="str">
        <x:v>Oceania University of Medicine</x:v>
      </x:c>
      <x:c r="D72" s="32" t="str">
        <x:v>Oceania University of Medicine</x:v>
      </x:c>
      <x:c r="E72" s="30" t="str">
        <x:v>Samoa</x:v>
      </x:c>
      <x:c r="F72" s="30" t="str">
        <x:v>WSM</x:v>
      </x:c>
      <x:c r="G72" s="32" t="str">
        <x:v>Apia</x:v>
      </x:c>
      <x:c r="H72" s="32" t="str">
        <x:v>Medical University</x:v>
      </x:c>
      <x:c r="I72" s="30" t="str">
        <x:v>Private</x:v>
      </x:c>
      <x:c r="J72" s="30" t="str">
        <x:v>Active</x:v>
      </x:c>
      <x:c r="K72" s="30" t="str">
        <x:v>https://oum.edu.ws/</x:v>
      </x:c>
      <x:c r="L72" s="32" t="str">
        <x:v>https://nus.edu.ws/ | https://oum.edu.ws/about-oum/accreditation/</x:v>
      </x:c>
    </x:row>
    <x:row r="73" ht="28" customHeight="1">
      <x:c r="A73" s="34" t="str">
        <x:v>INS-TON-0001</x:v>
      </x:c>
      <x:c r="B73" s="34"/>
      <x:c r="C73" s="35" t="str">
        <x:v>Tonga National University</x:v>
      </x:c>
      <x:c r="D73" s="35" t="str">
        <x:v>Tonga National University</x:v>
      </x:c>
      <x:c r="E73" s="34" t="str">
        <x:v>Tonga</x:v>
      </x:c>
      <x:c r="F73" s="34" t="str">
        <x:v>TON</x:v>
      </x:c>
      <x:c r="G73" s="35" t="str">
        <x:v>Nuku'alofa</x:v>
      </x:c>
      <x:c r="H73" s="35" t="str">
        <x:v>University</x:v>
      </x:c>
      <x:c r="I73" s="34" t="str">
        <x:v>Public</x:v>
      </x:c>
      <x:c r="J73" s="34" t="str">
        <x:v>Active</x:v>
      </x:c>
      <x:c r="K73" s="34" t="str">
        <x:v>https://www.tnu.edu.to/</x:v>
      </x:c>
      <x:c r="L73" s="35" t="str">
        <x:v>https://www.tnu.edu.to/ | https://ago.gov.to/cms/images/LEGISLATION/PRINCIPAL/2021/2021-0202/TongaNationalUniversityAct2021_1.pdf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b432fe0a0f564ae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28" hidden="0" customWidth="1"/>
    <x:col min="4" max="4" width="25" hidden="0" customWidth="1"/>
    <x:col min="5" max="5" width="10" hidden="0" customWidth="1"/>
    <x:col min="6" max="6" width="13" hidden="0" customWidth="1"/>
    <x:col min="7" max="7" width="14" hidden="0" customWidth="1"/>
    <x:col min="9" max="9" width="26" hidden="0" customWidth="1"/>
    <x:col min="10" max="10" width="16" hidden="0" customWidth="1"/>
  </x:cols>
  <x:sheetData>
    <x:row r="1" ht="30" customHeight="1">
      <x:c r="A1" s="40" t="str">
        <x:v>Oceania Import Plan — 14 Sovereign States — Complete</x:v>
      </x:c>
      <x:c r="B1" s="40"/>
      <x:c r="C1" s="40"/>
      <x:c r="D1" s="40"/>
      <x:c r="E1" s="40"/>
      <x:c r="F1" s="40"/>
      <x:c r="G1" s="40"/>
      <x:c r="I1" s="60" t="str">
        <x:v>Oceania Summary</x:v>
      </x:c>
      <x:c r="J1" s="60"/>
      <x:c r="K1" s="60"/>
    </x:row>
    <x:row r="3" ht="28" customHeight="1">
      <x:c r="A3" s="42" t="str">
        <x:v>Sequence</x:v>
      </x:c>
      <x:c r="B3" s="42" t="str">
        <x:v>Batch</x:v>
      </x:c>
      <x:c r="C3" s="42" t="str">
        <x:v>Subregion</x:v>
      </x:c>
      <x:c r="D3" s="42" t="str">
        <x:v>Country</x:v>
      </x:c>
      <x:c r="E3" s="42" t="str">
        <x:v>ISO3</x:v>
      </x:c>
      <x:c r="F3" s="42" t="str">
        <x:v>Status</x:v>
      </x:c>
      <x:c r="G3" s="42" t="str">
        <x:v>Institutions</x:v>
      </x:c>
      <x:c r="I3" s="20" t="str">
        <x:v>Metric</x:v>
      </x:c>
      <x:c r="J3" s="20" t="str">
        <x:v>Value</x:v>
      </x:c>
    </x:row>
    <x:row r="4" ht="24" customHeight="1">
      <x:c r="A4" s="48" t="n">
        <x:v>1</x:v>
      </x:c>
      <x:c r="B4" s="48" t="n">
        <x:v>1</x:v>
      </x:c>
      <x:c r="C4" s="49" t="str">
        <x:v>Australia and New Zealand</x:v>
      </x:c>
      <x:c r="D4" s="49" t="str">
        <x:v>Australia</x:v>
      </x:c>
      <x:c r="E4" s="48" t="str">
        <x:v>AUS</x:v>
      </x:c>
      <x:c r="F4" s="48" t="str">
        <x:v>Imported</x:v>
      </x:c>
      <x:c r="G4" s="48" t="n">
        <x:v>42</x:v>
      </x:c>
      <x:c r="I4" s="62" t="str">
        <x:v>Imported countries</x:v>
      </x:c>
      <x:c r="J4" s="66" t="n">
        <x:f>COUNTIF(F4:F17,"Imported")</x:f>
        <x:v>14</x:v>
      </x:c>
    </x:row>
    <x:row r="5" ht="24" customHeight="1">
      <x:c r="A5" s="48" t="n">
        <x:v>2</x:v>
      </x:c>
      <x:c r="B5" s="48" t="n">
        <x:v>1</x:v>
      </x:c>
      <x:c r="C5" s="49" t="str">
        <x:v>Australia and New Zealand</x:v>
      </x:c>
      <x:c r="D5" s="49" t="str">
        <x:v>New Zealand</x:v>
      </x:c>
      <x:c r="E5" s="48" t="str">
        <x:v>NZL</x:v>
      </x:c>
      <x:c r="F5" s="48" t="str">
        <x:v>Imported</x:v>
      </x:c>
      <x:c r="G5" s="48" t="n">
        <x:v>8</x:v>
      </x:c>
      <x:c r="I5" s="62" t="str">
        <x:v>Pending countries</x:v>
      </x:c>
      <x:c r="J5" s="66" t="n">
        <x:f>COUNTIF(F4:F17,"Pending")</x:f>
        <x:v>0</x:v>
      </x:c>
    </x:row>
    <x:row r="6" ht="24" customHeight="1">
      <x:c r="A6" s="48" t="n">
        <x:v>3</x:v>
      </x:c>
      <x:c r="B6" s="48" t="n">
        <x:v>1</x:v>
      </x:c>
      <x:c r="C6" s="49" t="str">
        <x:v>Melanesia</x:v>
      </x:c>
      <x:c r="D6" s="49" t="str">
        <x:v>Papua New Guinea</x:v>
      </x:c>
      <x:c r="E6" s="48" t="str">
        <x:v>PNG</x:v>
      </x:c>
      <x:c r="F6" s="48" t="str">
        <x:v>Imported</x:v>
      </x:c>
      <x:c r="G6" s="48" t="n">
        <x:v>10</x:v>
      </x:c>
      <x:c r="I6" s="62" t="str">
        <x:v>Countries with institutions</x:v>
      </x:c>
      <x:c r="J6" s="66" t="n">
        <x:f>COUNTIF(G4:G17,"&gt;0")</x:f>
        <x:v>8</x:v>
      </x:c>
    </x:row>
    <x:row r="7" ht="24" customHeight="1">
      <x:c r="A7" s="48" t="n">
        <x:v>4</x:v>
      </x:c>
      <x:c r="B7" s="48" t="n">
        <x:v>1</x:v>
      </x:c>
      <x:c r="C7" s="49" t="str">
        <x:v>Melanesia</x:v>
      </x:c>
      <x:c r="D7" s="49" t="str">
        <x:v>Fiji</x:v>
      </x:c>
      <x:c r="E7" s="48" t="str">
        <x:v>FJI</x:v>
      </x:c>
      <x:c r="F7" s="48" t="str">
        <x:v>Imported</x:v>
      </x:c>
      <x:c r="G7" s="48" t="n">
        <x:v>4</x:v>
      </x:c>
      <x:c r="I7" s="62" t="str">
        <x:v>Imported institutions</x:v>
      </x:c>
      <x:c r="J7" s="66" t="n">
        <x:f>COUNTA('Oceania Universities'!A5:A73)</x:f>
        <x:v>69</x:v>
      </x:c>
    </x:row>
    <x:row r="8" ht="24" customHeight="1">
      <x:c r="A8" s="48" t="n">
        <x:v>5</x:v>
      </x:c>
      <x:c r="B8" s="48" t="n">
        <x:v>1</x:v>
      </x:c>
      <x:c r="C8" s="49" t="str">
        <x:v>Melanesia</x:v>
      </x:c>
      <x:c r="D8" s="49" t="str">
        <x:v>Solomon Islands</x:v>
      </x:c>
      <x:c r="E8" s="48" t="str">
        <x:v>SLB</x:v>
      </x:c>
      <x:c r="F8" s="48" t="str">
        <x:v>Imported</x:v>
      </x:c>
      <x:c r="G8" s="48" t="n">
        <x:v>1</x:v>
      </x:c>
    </x:row>
    <x:row r="9" ht="24" customHeight="1">
      <x:c r="A9" s="48" t="n">
        <x:v>6</x:v>
      </x:c>
      <x:c r="B9" s="48" t="n">
        <x:v>1</x:v>
      </x:c>
      <x:c r="C9" s="49" t="str">
        <x:v>Melanesia</x:v>
      </x:c>
      <x:c r="D9" s="49" t="str">
        <x:v>Vanuatu</x:v>
      </x:c>
      <x:c r="E9" s="48" t="str">
        <x:v>VUT</x:v>
      </x:c>
      <x:c r="F9" s="48" t="str">
        <x:v>Imported</x:v>
      </x:c>
      <x:c r="G9" s="48" t="n">
        <x:v>1</x:v>
      </x:c>
    </x:row>
    <x:row r="10" ht="24" customHeight="1">
      <x:c r="A10" s="48" t="n">
        <x:v>7</x:v>
      </x:c>
      <x:c r="B10" s="48" t="n">
        <x:v>1</x:v>
      </x:c>
      <x:c r="C10" s="49" t="str">
        <x:v>Polynesia</x:v>
      </x:c>
      <x:c r="D10" s="49" t="str">
        <x:v>Samoa</x:v>
      </x:c>
      <x:c r="E10" s="48" t="str">
        <x:v>WSM</x:v>
      </x:c>
      <x:c r="F10" s="48" t="str">
        <x:v>Imported</x:v>
      </x:c>
      <x:c r="G10" s="48" t="n">
        <x:v>2</x:v>
      </x:c>
      <x:c r="I10" s="20" t="str">
        <x:v>Country</x:v>
      </x:c>
      <x:c r="J10" s="20" t="str">
        <x:v>Institutions</x:v>
      </x:c>
    </x:row>
    <x:row r="11" ht="24" customHeight="1">
      <x:c r="A11" s="48" t="n">
        <x:v>8</x:v>
      </x:c>
      <x:c r="B11" s="48" t="n">
        <x:v>1</x:v>
      </x:c>
      <x:c r="C11" s="49" t="str">
        <x:v>Polynesia</x:v>
      </x:c>
      <x:c r="D11" s="49" t="str">
        <x:v>Tonga</x:v>
      </x:c>
      <x:c r="E11" s="48" t="str">
        <x:v>TON</x:v>
      </x:c>
      <x:c r="F11" s="48" t="str">
        <x:v>Imported</x:v>
      </x:c>
      <x:c r="G11" s="48" t="n">
        <x:v>1</x:v>
      </x:c>
      <x:c r="I11" s="28" t="str">
        <x:v>Australia</x:v>
      </x:c>
      <x:c r="J11" s="28" t="n">
        <x:v>42</x:v>
      </x:c>
    </x:row>
    <x:row r="12" ht="24" customHeight="1">
      <x:c r="A12" s="52" t="n">
        <x:v>9</x:v>
      </x:c>
      <x:c r="B12" s="52" t="n">
        <x:v>1</x:v>
      </x:c>
      <x:c r="C12" s="53" t="str">
        <x:v>Micronesia</x:v>
      </x:c>
      <x:c r="D12" s="53" t="str">
        <x:v>Kiribati</x:v>
      </x:c>
      <x:c r="E12" s="52" t="str">
        <x:v>KIR</x:v>
      </x:c>
      <x:c r="F12" s="52" t="str">
        <x:v>Imported</x:v>
      </x:c>
      <x:c r="G12" s="52" t="n">
        <x:v>0</x:v>
      </x:c>
      <x:c r="I12" s="28" t="str">
        <x:v>New Zealand</x:v>
      </x:c>
      <x:c r="J12" s="28" t="n">
        <x:v>8</x:v>
      </x:c>
    </x:row>
    <x:row r="13" ht="24" customHeight="1">
      <x:c r="A13" s="52" t="n">
        <x:v>10</x:v>
      </x:c>
      <x:c r="B13" s="52" t="n">
        <x:v>1</x:v>
      </x:c>
      <x:c r="C13" s="53" t="str">
        <x:v>Micronesia</x:v>
      </x:c>
      <x:c r="D13" s="53" t="str">
        <x:v>Marshall Islands</x:v>
      </x:c>
      <x:c r="E13" s="52" t="str">
        <x:v>MHL</x:v>
      </x:c>
      <x:c r="F13" s="52" t="str">
        <x:v>Imported</x:v>
      </x:c>
      <x:c r="G13" s="52" t="n">
        <x:v>0</x:v>
      </x:c>
      <x:c r="I13" s="28" t="str">
        <x:v>Papua New Guinea</x:v>
      </x:c>
      <x:c r="J13" s="28" t="n">
        <x:v>10</x:v>
      </x:c>
    </x:row>
    <x:row r="14" ht="24" customHeight="1">
      <x:c r="A14" s="52" t="n">
        <x:v>11</x:v>
      </x:c>
      <x:c r="B14" s="52" t="n">
        <x:v>1</x:v>
      </x:c>
      <x:c r="C14" s="53" t="str">
        <x:v>Micronesia</x:v>
      </x:c>
      <x:c r="D14" s="53" t="str">
        <x:v>Micronesia</x:v>
      </x:c>
      <x:c r="E14" s="52" t="str">
        <x:v>FSM</x:v>
      </x:c>
      <x:c r="F14" s="52" t="str">
        <x:v>Imported</x:v>
      </x:c>
      <x:c r="G14" s="52" t="n">
        <x:v>0</x:v>
      </x:c>
      <x:c r="I14" s="28" t="str">
        <x:v>Fiji</x:v>
      </x:c>
      <x:c r="J14" s="28" t="n">
        <x:v>4</x:v>
      </x:c>
    </x:row>
    <x:row r="15" ht="24" customHeight="1">
      <x:c r="A15" s="52" t="n">
        <x:v>12</x:v>
      </x:c>
      <x:c r="B15" s="52" t="n">
        <x:v>1</x:v>
      </x:c>
      <x:c r="C15" s="53" t="str">
        <x:v>Micronesia</x:v>
      </x:c>
      <x:c r="D15" s="53" t="str">
        <x:v>Nauru</x:v>
      </x:c>
      <x:c r="E15" s="52" t="str">
        <x:v>NRU</x:v>
      </x:c>
      <x:c r="F15" s="52" t="str">
        <x:v>Imported</x:v>
      </x:c>
      <x:c r="G15" s="52" t="n">
        <x:v>0</x:v>
      </x:c>
      <x:c r="I15" s="28" t="str">
        <x:v>Solomon Islands</x:v>
      </x:c>
      <x:c r="J15" s="28" t="n">
        <x:v>1</x:v>
      </x:c>
    </x:row>
    <x:row r="16" ht="24" customHeight="1">
      <x:c r="A16" s="52" t="n">
        <x:v>13</x:v>
      </x:c>
      <x:c r="B16" s="52" t="n">
        <x:v>1</x:v>
      </x:c>
      <x:c r="C16" s="53" t="str">
        <x:v>Micronesia</x:v>
      </x:c>
      <x:c r="D16" s="53" t="str">
        <x:v>Palau</x:v>
      </x:c>
      <x:c r="E16" s="52" t="str">
        <x:v>PLW</x:v>
      </x:c>
      <x:c r="F16" s="52" t="str">
        <x:v>Imported</x:v>
      </x:c>
      <x:c r="G16" s="52" t="n">
        <x:v>0</x:v>
      </x:c>
      <x:c r="I16" s="28" t="str">
        <x:v>Vanuatu</x:v>
      </x:c>
      <x:c r="J16" s="28" t="n">
        <x:v>1</x:v>
      </x:c>
    </x:row>
    <x:row r="17" ht="24" customHeight="1">
      <x:c r="A17" s="52" t="n">
        <x:v>14</x:v>
      </x:c>
      <x:c r="B17" s="52" t="n">
        <x:v>1</x:v>
      </x:c>
      <x:c r="C17" s="53" t="str">
        <x:v>Polynesia</x:v>
      </x:c>
      <x:c r="D17" s="53" t="str">
        <x:v>Tuvalu</x:v>
      </x:c>
      <x:c r="E17" s="52" t="str">
        <x:v>TUV</x:v>
      </x:c>
      <x:c r="F17" s="52" t="str">
        <x:v>Imported</x:v>
      </x:c>
      <x:c r="G17" s="52" t="n">
        <x:v>0</x:v>
      </x:c>
      <x:c r="I17" s="28" t="str">
        <x:v>Samoa</x:v>
      </x:c>
      <x:c r="J17" s="28" t="n">
        <x:v>2</x:v>
      </x:c>
    </x:row>
    <x:row r="18">
      <x:c r="I18" s="28" t="str">
        <x:v>Tonga</x:v>
      </x:c>
      <x:c r="J18" s="28" t="n">
        <x:v>1</x:v>
      </x:c>
    </x:row>
    <x:row r="19">
      <x:c r="I19" s="28" t="str">
        <x:v>Kiribati</x:v>
      </x:c>
      <x:c r="J19" s="28" t="n">
        <x:v>0</x:v>
      </x:c>
    </x:row>
    <x:row r="20">
      <x:c r="I20" s="28" t="str">
        <x:v>Marshall Islands</x:v>
      </x:c>
      <x:c r="J20" s="28" t="n">
        <x:v>0</x:v>
      </x:c>
    </x:row>
    <x:row r="21">
      <x:c r="I21" s="28" t="str">
        <x:v>Micronesia</x:v>
      </x:c>
      <x:c r="J21" s="28" t="n">
        <x:v>0</x:v>
      </x:c>
    </x:row>
    <x:row r="22">
      <x:c r="I22" s="28" t="str">
        <x:v>Nauru</x:v>
      </x:c>
      <x:c r="J22" s="28" t="n">
        <x:v>0</x:v>
      </x:c>
    </x:row>
    <x:row r="23">
      <x:c r="I23" s="28" t="str">
        <x:v>Palau</x:v>
      </x:c>
      <x:c r="J23" s="28" t="n">
        <x:v>0</x:v>
      </x:c>
    </x:row>
    <x:row r="24">
      <x:c r="I24" s="28" t="str">
        <x:v>Tuvalu</x:v>
      </x:c>
      <x:c r="J24" s="28" t="n">
        <x:v>0</x:v>
      </x:c>
    </x:row>
  </x:sheetData>
  <x:mergeCells>
    <x:mergeCell ref="A1:G1"/>
    <x:mergeCell ref="I1:K1"/>
  </x:mergeCells>
  <x:dataValidations count="1">
    <x:dataValidation type="list" sqref="F4:F17">
      <x:formula1>"Imported,Pending"</x:formula1>
    </x:dataValidation>
  </x:dataValidations>
  <x:pageMargins left="0.7" right="0.7" top="0.75" bottom="0.75" header="0.3" footer="0.3"/>
  <x:drawing xmlns:r="http://schemas.openxmlformats.org/officeDocument/2006/relationships" r:id="Rfe1c1e66675f432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42" hidden="0" customWidth="1"/>
    <x:col min="4" max="4" width="52" hidden="0" customWidth="1"/>
    <x:col min="5" max="5" width="50" hidden="0" customWidth="1"/>
    <x:col min="6" max="6" width="50" hidden="0" customWidth="1"/>
  </x:cols>
  <x:sheetData>
    <x:row r="1" ht="30" customHeight="1">
      <x:c r="A1" s="40" t="str">
        <x:v>Oceania — Complete Coverage and Source Notes</x:v>
      </x:c>
      <x:c r="B1" s="40"/>
      <x:c r="C1" s="40"/>
      <x:c r="D1" s="40"/>
      <x:c r="E1" s="40"/>
      <x:c r="F1" s="40"/>
    </x:row>
    <x:row r="3" ht="30" customHeight="1">
      <x:c r="A3" s="42" t="str">
        <x:v>Country</x:v>
      </x:c>
      <x:c r="B3" s="42" t="str">
        <x:v>Imported</x:v>
      </x:c>
      <x:c r="C3" s="42" t="str">
        <x:v>Reference Universe</x:v>
      </x:c>
      <x:c r="D3" s="42" t="str">
        <x:v>Applied Scope</x:v>
      </x:c>
      <x:c r="E3" s="42" t="str">
        <x:v>Primary Source</x:v>
      </x:c>
      <x:c r="F3" s="42" t="str">
        <x:v>Quality Note</x:v>
      </x:c>
    </x:row>
    <x:row r="4" ht="96" customHeight="1">
      <x:c r="A4" s="72" t="str">
        <x:v>Australia</x:v>
      </x:c>
      <x:c r="B4" s="76" t="n">
        <x:v>42</x:v>
      </x:c>
      <x:c r="C4" s="70" t="str">
        <x:v>TEQSA National Register and the current Universities Australia profile list after Adelaide University commenced in 2026</x:v>
      </x:c>
      <x:c r="D4" s="70" t="str">
        <x:v>All registered Australian University-category entities: 38 Universities Australia institutions plus Avondale University, Torrens University Australia, University of Divinity and Australian University of Theology; foreign branches and non-university higher-education providers excluded</x:v>
      </x:c>
      <x:c r="E4" s="70" t="str">
        <x:v>https://www.teqsa.gov.au/national-register | https://universitiesaustralia.edu.au/our-universities/university-profiles/</x:v>
      </x:c>
      <x:c r="F4" s="70" t="str">
        <x:v>The University of Adelaide and University of South Australia are not duplicated because Adelaide University commenced as their merged successor on 1 January 2026.</x:v>
      </x:c>
    </x:row>
    <x:row r="5" ht="96" customHeight="1">
      <x:c r="A5" s="72" t="str">
        <x:v>New Zealand</x:v>
      </x:c>
      <x:c r="B5" s="76" t="n">
        <x:v>8</x:v>
      </x:c>
      <x:c r="C5" s="70" t="str">
        <x:v>Universities New Zealand official eight-university system</x:v>
      </x:c>
      <x:c r="D5" s="70" t="str">
        <x:v>All eight statutory universities; institutes of technology, polytechnics, wānanga and private training establishments excluded</x:v>
      </x:c>
      <x:c r="E5" s="70" t="str">
        <x:v>https://www.universitiesnz.ac.nz/universities</x:v>
      </x:c>
      <x:c r="F5" s="70" t="str">
        <x:v>All eight universities are public and are recorded once at parent-institution level.</x:v>
      </x:c>
    </x:row>
    <x:row r="6" ht="96" customHeight="1">
      <x:c r="A6" s="72" t="str">
        <x:v>Papua New Guinea</x:v>
      </x:c>
      <x:c r="B6" s="76" t="n">
        <x:v>10</x:v>
      </x:c>
      <x:c r="C6" s="70" t="str">
        <x:v>DHERST national admissions/recognized-HEI framework plus current operating evidence from the university entities</x:v>
      </x:c>
      <x:c r="D6" s="70" t="str">
        <x:v>Ten active independent universities, including the newer Western Pacific, Innovative University of Enga and Lutheran University; colleges, seminaries, nursing/teacher colleges and campuses excluded</x:v>
      </x:c>
      <x:c r="E6" s="70" t="str">
        <x:v>https://apply.dherst.gov.pg/ | https://web.dherst.gov.pg/</x:v>
      </x:c>
      <x:c r="F6" s="70" t="str">
        <x:v>The list preserves one parent record per university. Constituent colleges merged into Lutheran University are not repeated.</x:v>
      </x:c>
    </x:row>
    <x:row r="7" ht="96" customHeight="1">
      <x:c r="A7" s="72" t="str">
        <x:v>Fiji</x:v>
      </x:c>
      <x:c r="B7" s="76" t="n">
        <x:v>4</x:v>
      </x:c>
      <x:c r="C7" s="70" t="str">
        <x:v>Higher Education Commission Fiji registered-HEI list</x:v>
      </x:c>
      <x:c r="D7" s="70" t="str">
        <x:v>Three registered universities plus the substantial registered Fulton Adventist University College; vocational, theological and ordinary technical providers excluded</x:v>
      </x:c>
      <x:c r="E7" s="70" t="str">
        <x:v>https://hec.org.fj/registered-heis/ | https://www.usp.ac.fj/why-usp/</x:v>
      </x:c>
      <x:c r="F7" s="70" t="str">
        <x:v>The University of the South Pacific is recorded here once because its main Laucala campus and institutional headquarters are in Fiji.</x:v>
      </x:c>
    </x:row>
    <x:row r="8" ht="96" customHeight="1">
      <x:c r="A8" s="72" t="str">
        <x:v>Solomon Islands</x:v>
      </x:c>
      <x:c r="B8" s="76" t="n">
        <x:v>1</x:v>
      </x:c>
      <x:c r="C8" s="70" t="str">
        <x:v>Solomon Islands National University current institutional record</x:v>
      </x:c>
      <x:c r="D8" s="70" t="str">
        <x:v>Independent national university only; USP Solomon Islands is a dependent campus and colleges/TVET providers are excluded</x:v>
      </x:c>
      <x:c r="E8" s="70" t="str">
        <x:v>https://www.sinu.edu.sb/ | https://www.usp.ac.fj/why-usp/</x:v>
      </x:c>
      <x:c r="F8" s="70" t="str">
        <x:v>SINU is the country's sole independent university under the strict scope.</x:v>
      </x:c>
    </x:row>
    <x:row r="9" ht="96" customHeight="1">
      <x:c r="A9" s="72" t="str">
        <x:v>Vanuatu</x:v>
      </x:c>
      <x:c r="B9" s="76" t="n">
        <x:v>1</x:v>
      </x:c>
      <x:c r="C9" s="70" t="str">
        <x:v>National University of Vanuatu current 2026 institutional and programme record</x:v>
      </x:c>
      <x:c r="D9" s="70" t="str">
        <x:v>Independent national university only; USP Emalus is a dependent regional campus and other post-school providers are excluded</x:v>
      </x:c>
      <x:c r="E9" s="70" t="str">
        <x:v>https://www.univ.edu.vu/ | https://www.usp.ac.fj/why-usp/</x:v>
      </x:c>
      <x:c r="F9" s="70" t="str">
        <x:v>NUV is active in 2026 and delivers bachelor’s and postgraduate programmes.</x:v>
      </x:c>
    </x:row>
    <x:row r="10" ht="96" customHeight="1">
      <x:c r="A10" s="72" t="str">
        <x:v>Samoa</x:v>
      </x:c>
      <x:c r="B10" s="76" t="n">
        <x:v>2</x:v>
      </x:c>
      <x:c r="C10" s="70" t="str">
        <x:v>National University of Samoa and the gazetted/accredited Oceania University of Medicine</x:v>
      </x:c>
      <x:c r="D10" s="70" t="str">
        <x:v>Two independent universities; USP Alafua is a dependent regional campus and theological colleges are excluded</x:v>
      </x:c>
      <x:c r="E10" s="70" t="str">
        <x:v>https://nus.edu.ws/ | https://oum.edu.ws/about-oum/accreditation/</x:v>
      </x:c>
      <x:c r="F10" s="70" t="str">
        <x:v>OUM's institutional medical accreditation was renewed in 2025 through May 2030.</x:v>
      </x:c>
    </x:row>
    <x:row r="11" ht="96" customHeight="1">
      <x:c r="A11" s="72" t="str">
        <x:v>Tonga</x:v>
      </x:c>
      <x:c r="B11" s="76" t="n">
        <x:v>1</x:v>
      </x:c>
      <x:c r="C11" s="70" t="str">
        <x:v>Tonga National University Act and current TNU operations</x:v>
      </x:c>
      <x:c r="D11" s="70" t="str">
        <x:v>Tonga National University only; USP Tonga is a dependent regional campus, and small theological/agricultural/private tertiary providers are excluded</x:v>
      </x:c>
      <x:c r="E11" s="70" t="str">
        <x:v>https://www.tnu.edu.to/ | https://ago.gov.to/cms/images/LEGISLATION/PRINCIPAL/2021/2021-0202/TongaNationalUniversityAct2021_1.pdf</x:v>
      </x:c>
      <x:c r="F11" s="70" t="str">
        <x:v>TNU opened in 2023 by consolidating government post-secondary institutions and currently delivers degree and postgraduate awards.</x:v>
      </x:c>
    </x:row>
    <x:row r="12" ht="96" customHeight="1">
      <x:c r="A12" s="78" t="str">
        <x:v>Kiribati</x:v>
      </x:c>
      <x:c r="B12" s="79" t="n">
        <x:v>0</x:v>
      </x:c>
      <x:c r="C12" s="78" t="str">
        <x:v>National post-secondary structure and USP member-country campus network</x:v>
      </x:c>
      <x:c r="D12" s="78" t="str">
        <x:v>No independent university-level parent entity; USP Kiribati is a branch of the single regional university recorded in Fiji, while teacher and technical colleges are outside scope</x:v>
      </x:c>
      <x:c r="E12" s="78" t="str">
        <x:v>https://www.usp.ac.fj/why-usp/</x:v>
      </x:c>
      <x:c r="F12" s="78" t="str">
        <x:v>Country marked complete with zero imported institutions.</x:v>
      </x:c>
    </x:row>
    <x:row r="13" ht="96" customHeight="1">
      <x:c r="A13" s="78" t="str">
        <x:v>Marshall Islands</x:v>
      </x:c>
      <x:c r="B13" s="79" t="n">
        <x:v>0</x:v>
      </x:c>
      <x:c r="C13" s="78" t="str">
        <x:v>College of the Marshall Islands and USP member-country campus network</x:v>
      </x:c>
      <x:c r="D13" s="78" t="str">
        <x:v>No independent university; the national provider is an ordinary college and USP Marshall Islands is a dependent branch</x:v>
      </x:c>
      <x:c r="E13" s="78" t="str">
        <x:v>https://www.cmi.edu/ | https://www.usp.ac.fj/why-usp/</x:v>
      </x:c>
      <x:c r="F13" s="78" t="str">
        <x:v>Country marked complete with zero imported institutions under the university-only rule.</x:v>
      </x:c>
    </x:row>
    <x:row r="14" ht="96" customHeight="1">
      <x:c r="A14" s="78" t="str">
        <x:v>Micronesia</x:v>
      </x:c>
      <x:c r="B14" s="79" t="n">
        <x:v>0</x:v>
      </x:c>
      <x:c r="C14" s="78" t="str">
        <x:v>College of Micronesia-FSM national system</x:v>
      </x:c>
      <x:c r="D14" s="78" t="str">
        <x:v>No independent university; College of Micronesia-FSM is excluded as an ordinary college under the project scope</x:v>
      </x:c>
      <x:c r="E14" s="78" t="str">
        <x:v>https://www.comfsm.fm/</x:v>
      </x:c>
      <x:c r="F14" s="78" t="str">
        <x:v>Country marked complete with zero imported institutions.</x:v>
      </x:c>
    </x:row>
    <x:row r="15" ht="96" customHeight="1">
      <x:c r="A15" s="78" t="str">
        <x:v>Nauru</x:v>
      </x:c>
      <x:c r="B15" s="79" t="n">
        <x:v>0</x:v>
      </x:c>
      <x:c r="C15" s="78" t="str">
        <x:v>USP member-country campus network and national post-secondary context</x:v>
      </x:c>
      <x:c r="D15" s="78" t="str">
        <x:v>No independent university-level parent entity; the USP Nauru campus is a dependent branch of the university recorded in Fiji</x:v>
      </x:c>
      <x:c r="E15" s="78" t="str">
        <x:v>https://www.usp.ac.fj/why-usp/</x:v>
      </x:c>
      <x:c r="F15" s="78" t="str">
        <x:v>Country marked complete with zero imported institutions.</x:v>
      </x:c>
    </x:row>
    <x:row r="16" ht="96" customHeight="1">
      <x:c r="A16" s="78" t="str">
        <x:v>Palau</x:v>
      </x:c>
      <x:c r="B16" s="79" t="n">
        <x:v>0</x:v>
      </x:c>
      <x:c r="C16" s="78" t="str">
        <x:v>Palau Community College national higher-education structure</x:v>
      </x:c>
      <x:c r="D16" s="78" t="str">
        <x:v>No independent university; Palau Community College is excluded as an ordinary community college</x:v>
      </x:c>
      <x:c r="E16" s="78" t="str">
        <x:v>https://pcc.palau.edu/</x:v>
      </x:c>
      <x:c r="F16" s="78" t="str">
        <x:v>Country marked complete with zero imported institutions.</x:v>
      </x:c>
    </x:row>
    <x:row r="17" ht="96" customHeight="1">
      <x:c r="A17" s="78" t="str">
        <x:v>Tuvalu</x:v>
      </x:c>
      <x:c r="B17" s="79" t="n">
        <x:v>0</x:v>
      </x:c>
      <x:c r="C17" s="78" t="str">
        <x:v>USP member-country campus network and national post-secondary context</x:v>
      </x:c>
      <x:c r="D17" s="78" t="str">
        <x:v>No independent university-level parent entity; USP Tuvalu is a dependent branch of the regional university recorded in Fiji</x:v>
      </x:c>
      <x:c r="E17" s="78" t="str">
        <x:v>https://www.usp.ac.fj/why-usp/</x:v>
      </x:c>
      <x:c r="F17" s="78" t="str">
        <x:v>Country marked complete with zero imported institutions.</x:v>
      </x:c>
    </x:row>
    <x:row r="19" ht="55" customHeight="1">
      <x:c r="A19" s="86" t="str">
        <x:v>Methodology: MANARATAK imports independent degree-granting university entities, not every postsecondary provider. Ordinary colleges, community colleges, constituent colleges, dependent campuses, short-cycle schools, system offices, closed institutions and weak college-like providers are excluded. The University of the South Pacific is a single regional university and is recorded once in Fiji rather than repeated across its member-country campuses.</x:v>
      </x:c>
      <x:c r="B19" s="86"/>
      <x:c r="C19" s="86"/>
      <x:c r="D19" s="86"/>
      <x:c r="E19" s="86"/>
      <x:c r="F19" s="86"/>
    </x:row>
  </x:sheetData>
  <x:mergeCells>
    <x:mergeCell ref="A1:F1"/>
    <x:mergeCell ref="A19:F19"/>
  </x:mergeCells>
  <x:pageMargins left="0.7" right="0.7" top="0.75" bottom="0.75" header="0.3" footer="0.3"/>
</x:worksheet>
</file>