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ceania Universities" sheetId="1" state="visible" r:id="rId1"/>
    <sheet xmlns:r="http://schemas.openxmlformats.org/officeDocument/2006/relationships" name="Oceania Country Plan" sheetId="2" state="visible" r:id="rId2"/>
    <sheet xmlns:r="http://schemas.openxmlformats.org/officeDocument/2006/relationships" name="Coverage Notes" sheetId="3" state="visible" r:id="rId3"/>
    <sheet xmlns:r="http://schemas.openxmlformats.org/officeDocument/2006/relationships" name="Geography Review" sheetId="4" state="visible" r:id="rId4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24343A"/>
      <sz val="10"/>
    </font>
    <font>
      <name val="Carlito"/>
      <b val="1"/>
      <color rgb="FFFFFFFF"/>
      <sz val="10"/>
    </font>
    <font>
      <name val="Carlito"/>
      <color rgb="FF24343A"/>
      <sz val="10"/>
    </font>
    <font>
      <name val="Carlito"/>
      <b val="1"/>
      <color rgb="FFFFFFFF"/>
      <sz val="17"/>
    </font>
    <font>
      <name val="Carlito"/>
      <color rgb="FF24343A"/>
      <sz val="11"/>
    </font>
    <font>
      <name val="Carlito"/>
      <b val="1"/>
      <color rgb="FF083844"/>
      <sz val="14"/>
    </font>
    <font>
      <name val="Carlito"/>
      <b val="1"/>
      <color rgb="FF24343A"/>
      <sz val="10"/>
    </font>
    <font>
      <name val="Carlito"/>
      <b val="1"/>
      <color rgb="FF083844"/>
      <sz val="13"/>
    </font>
  </fonts>
  <fills count="10">
    <fill>
      <patternFill/>
    </fill>
    <fill>
      <patternFill patternType="gray125"/>
    </fill>
    <fill>
      <patternFill patternType="solid">
        <fgColor rgb="FF083844"/>
      </patternFill>
    </fill>
    <fill>
      <patternFill patternType="solid">
        <fgColor rgb="FFEAF3F5"/>
      </patternFill>
    </fill>
    <fill>
      <patternFill patternType="solid">
        <fgColor rgb="FF0B4A5A"/>
      </patternFill>
    </fill>
    <fill>
      <patternFill patternType="solid">
        <fgColor rgb="FFF7FAFB"/>
      </patternFill>
    </fill>
    <fill>
      <patternFill patternType="solid">
        <fgColor rgb="FFDFF2E5"/>
      </patternFill>
    </fill>
    <fill>
      <patternFill patternType="solid">
        <fgColor rgb="FFF1F3F4"/>
      </patternFill>
    </fill>
    <fill>
      <patternFill patternType="solid">
        <fgColor rgb="FFD6A23A"/>
      </patternFill>
    </fill>
    <fill>
      <patternFill patternType="solid">
        <fgColor rgb="FFFFF4D6"/>
      </patternFill>
    </fill>
  </fills>
  <borders count="2">
    <border/>
    <border/>
  </borders>
  <cellStyleXfs count="1">
    <xf numFmtId="0" fontId="0" fillId="0" borderId="1"/>
  </cellStyleXfs>
  <cellXfs count="8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0" fillId="4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2" borderId="0" pivotButton="0" quotePrefix="0" xfId="0"/>
    <xf numFmtId="0" fontId="5" fillId="2" borderId="1" pivotButton="0" quotePrefix="0" xfId="0"/>
    <xf numFmtId="0" fontId="5" fillId="2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6" fillId="0" borderId="0" pivotButton="0" quotePrefix="0" xfId="0"/>
    <xf numFmtId="0" fontId="6" fillId="0" borderId="1" pivotButton="0" quotePrefix="0" xfId="0"/>
    <xf numFmtId="0" fontId="6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6" borderId="0" pivotButton="0" quotePrefix="0" xfId="0"/>
    <xf numFmtId="0" fontId="6" fillId="6" borderId="1" applyAlignment="1" pivotButton="0" quotePrefix="0" xfId="0">
      <alignment horizontal="center"/>
    </xf>
    <xf numFmtId="0" fontId="6" fillId="6" borderId="1" pivotButton="0" quotePrefix="0" xfId="0"/>
    <xf numFmtId="0" fontId="6" fillId="7" borderId="0" applyAlignment="1" pivotButton="0" quotePrefix="0" xfId="0">
      <alignment horizontal="center"/>
    </xf>
    <xf numFmtId="0" fontId="6" fillId="7" borderId="0" pivotButton="0" quotePrefix="0" xfId="0"/>
    <xf numFmtId="0" fontId="6" fillId="7" borderId="1" applyAlignment="1" pivotButton="0" quotePrefix="0" xfId="0">
      <alignment horizontal="center"/>
    </xf>
    <xf numFmtId="0" fontId="6" fillId="7" borderId="1" pivotButton="0" quotePrefix="0" xfId="0"/>
    <xf numFmtId="0" fontId="0" fillId="8" borderId="0" pivotButton="0" quotePrefix="0" xfId="0"/>
    <xf numFmtId="0" fontId="0" fillId="8" borderId="1" pivotButton="0" quotePrefix="0" xfId="0"/>
    <xf numFmtId="0" fontId="7" fillId="8" borderId="0" pivotButton="0" quotePrefix="0" xfId="0"/>
    <xf numFmtId="0" fontId="7" fillId="8" borderId="1" pivotButton="0" quotePrefix="0" xfId="0"/>
    <xf numFmtId="0" fontId="7" fillId="8" borderId="0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8" fillId="3" borderId="0" pivotButton="0" quotePrefix="0" xfId="0"/>
    <xf numFmtId="0" fontId="8" fillId="3" borderId="1" pivotButton="0" quotePrefix="0" xfId="0"/>
    <xf numFmtId="0" fontId="9" fillId="0" borderId="0" pivotButton="0" quotePrefix="0" xfId="0"/>
    <xf numFmtId="0" fontId="9" fillId="0" borderId="1" pivotButton="0" quotePrefix="0" xfId="0"/>
    <xf numFmtId="0" fontId="9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9" fillId="3" borderId="0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4" fillId="7" borderId="0" applyAlignment="1" pivotButton="0" quotePrefix="0" xfId="0">
      <alignment vertical="top" wrapText="1"/>
    </xf>
    <xf numFmtId="0" fontId="9" fillId="7" borderId="0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top" wrapText="1"/>
    </xf>
    <xf numFmtId="0" fontId="0" fillId="9" borderId="0" pivotButton="0" quotePrefix="0" xfId="0"/>
    <xf numFmtId="0" fontId="0" fillId="9" borderId="1" pivotButton="0" quotePrefix="0" xfId="0"/>
    <xf numFmtId="0" fontId="2" fillId="9" borderId="0" pivotButton="0" quotePrefix="0" xfId="0"/>
    <xf numFmtId="0" fontId="2" fillId="9" borderId="1" pivotButton="0" quotePrefix="0" xfId="0"/>
    <xf numFmtId="0" fontId="2" fillId="9" borderId="0" applyAlignment="1" pivotButton="0" quotePrefix="0" xfId="0">
      <alignment wrapText="1"/>
    </xf>
    <xf numFmtId="0" fontId="2" fillId="9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University-Level Institutions by Country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Institutions</v>
          </tx>
          <spPr>
            <a:ln xmlns:a="http://schemas.openxmlformats.org/drawingml/2006/main">
              <a:prstDash val="solid"/>
            </a:ln>
          </spPr>
          <cat>
            <strRef>
              <f>'Oceania Country Plan'!$I$11:$I$24</f>
              <strCache>
                <ptCount val="0"/>
              </strCache>
            </strRef>
          </cat>
          <val>
            <numRef>
              <f>'Oceania Country Plan'!$J$11:$J$24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11</col>
      <colOff>0</colOff>
      <row>2</row>
      <rowOff>0</rowOff>
    </from>
    <to>
      <col>20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OceaniaUniversitiesTable" displayName="OceaniaUniversitiesTable" ref="A4:L73" headerRowCount="1">
  <tableColumns count="12">
    <tableColumn id="1" name="Reference ID"/>
    <tableColumn id="2" name="National Code"/>
    <tableColumn id="3" name="Official English Name"/>
    <tableColumn id="4" name="Local Name"/>
    <tableColumn id="5" name="Country"/>
    <tableColumn id="6" name="ISO3"/>
    <tableColumn id="7" name="City"/>
    <tableColumn id="8" name="Institution Type"/>
    <tableColumn id="9" name="Ownership"/>
    <tableColumn id="10" name="Status"/>
    <tableColumn id="11" name="Official Website"/>
    <tableColumn id="12" name="Official Sourc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40" customWidth="1" min="4" max="4"/>
    <col width="22" customWidth="1" min="5" max="5"/>
    <col width="9" customWidth="1" min="6" max="6"/>
    <col width="22" customWidth="1" min="7" max="7"/>
    <col width="25" customWidth="1" min="8" max="8"/>
    <col width="12" customWidth="1" min="9" max="9"/>
    <col width="11" customWidth="1" min="10" max="10"/>
    <col width="30" customWidth="1" min="11" max="11"/>
    <col width="48" customWidth="1" min="12" max="12"/>
  </cols>
  <sheetData>
    <row r="1" ht="30" customHeight="1">
      <c r="A1" s="9" t="inlineStr">
        <is>
          <t>Oceania Universities Import — Complete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45" customHeight="1">
      <c r="A2" s="17" t="inlineStr">
        <is>
          <t>69 high-confidence independent university-level entities across all 14 sovereign states of Oceania. The University of the South Pacific is recorded once in Fiji as a single regional university; its branch campuses are not duplicated in member countries. Ordinary colleges, community colleges, dependent campuses, short-cycle institutions, system offices, closed entities and weak college-like providers are excluded.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 ht="32" customHeight="1">
      <c r="A4" s="26" t="inlineStr">
        <is>
          <t>Reference ID</t>
        </is>
      </c>
      <c r="B4" s="26" t="inlineStr">
        <is>
          <t>National Code</t>
        </is>
      </c>
      <c r="C4" s="26" t="inlineStr">
        <is>
          <t>Official English Name</t>
        </is>
      </c>
      <c r="D4" s="26" t="inlineStr">
        <is>
          <t>Local Name</t>
        </is>
      </c>
      <c r="E4" s="26" t="inlineStr">
        <is>
          <t>Country</t>
        </is>
      </c>
      <c r="F4" s="26" t="inlineStr">
        <is>
          <t>ISO3</t>
        </is>
      </c>
      <c r="G4" s="26" t="inlineStr">
        <is>
          <t>City</t>
        </is>
      </c>
      <c r="H4" s="26" t="inlineStr">
        <is>
          <t>Institution Type</t>
        </is>
      </c>
      <c r="I4" s="26" t="inlineStr">
        <is>
          <t>Ownership</t>
        </is>
      </c>
      <c r="J4" s="26" t="inlineStr">
        <is>
          <t>Status</t>
        </is>
      </c>
      <c r="K4" s="26" t="inlineStr">
        <is>
          <t>Official Website</t>
        </is>
      </c>
      <c r="L4" s="26" t="inlineStr">
        <is>
          <t>Official Source</t>
        </is>
      </c>
      <c r="M4" t="inlineStr">
        <is>
          <t>City Source ID</t>
        </is>
      </c>
      <c r="N4" t="inlineStr">
        <is>
          <t>City Region Code</t>
        </is>
      </c>
      <c r="O4" t="inlineStr">
        <is>
          <t>Geography Status</t>
        </is>
      </c>
      <c r="P4" t="inlineStr">
        <is>
          <t>Geography Review Reason</t>
        </is>
      </c>
    </row>
    <row r="5" ht="28" customHeight="1">
      <c r="A5" t="inlineStr">
        <is>
          <t>INS-AUS-0001</t>
        </is>
      </c>
      <c r="C5" t="inlineStr">
        <is>
          <t>The Australian National University</t>
        </is>
      </c>
      <c r="D5" t="inlineStr">
        <is>
          <t>The Australian National University</t>
        </is>
      </c>
      <c r="E5" t="inlineStr">
        <is>
          <t>Australia</t>
        </is>
      </c>
      <c r="F5" t="inlineStr">
        <is>
          <t>AUS</t>
        </is>
      </c>
      <c r="G5" t="inlineStr">
        <is>
          <t>Canberra</t>
        </is>
      </c>
      <c r="H5" t="inlineStr">
        <is>
          <t>University</t>
        </is>
      </c>
      <c r="I5" t="inlineStr">
        <is>
          <t>Public</t>
        </is>
      </c>
      <c r="J5" t="inlineStr">
        <is>
          <t>Active</t>
        </is>
      </c>
      <c r="K5" t="inlineStr">
        <is>
          <t>https://www.anu.edu.au/</t>
        </is>
      </c>
      <c r="L5" t="inlineStr">
        <is>
          <t>https://www.teqsa.gov.au/national-register | https://universitiesaustralia.edu.au/our-universities/university-profiles/</t>
        </is>
      </c>
      <c r="M5" t="inlineStr">
        <is>
          <t>city_au_canberra</t>
        </is>
      </c>
      <c r="N5" t="inlineStr">
        <is>
          <t>AU-ACT</t>
        </is>
      </c>
      <c r="O5" t="inlineStr">
        <is>
          <t>SOURCE_MATCHED</t>
        </is>
      </c>
    </row>
    <row r="6" ht="28" customHeight="1">
      <c r="A6" t="inlineStr">
        <is>
          <t>INS-AUS-0002</t>
        </is>
      </c>
      <c r="C6" t="inlineStr">
        <is>
          <t>University of Canberra</t>
        </is>
      </c>
      <c r="D6" t="inlineStr">
        <is>
          <t>University of Canberra</t>
        </is>
      </c>
      <c r="E6" t="inlineStr">
        <is>
          <t>Australia</t>
        </is>
      </c>
      <c r="F6" t="inlineStr">
        <is>
          <t>AUS</t>
        </is>
      </c>
      <c r="G6" t="inlineStr">
        <is>
          <t>Canberra</t>
        </is>
      </c>
      <c r="H6" t="inlineStr">
        <is>
          <t>University</t>
        </is>
      </c>
      <c r="I6" t="inlineStr">
        <is>
          <t>Public</t>
        </is>
      </c>
      <c r="J6" t="inlineStr">
        <is>
          <t>Active</t>
        </is>
      </c>
      <c r="K6" t="inlineStr">
        <is>
          <t>https://www.canberra.edu.au/</t>
        </is>
      </c>
      <c r="L6" t="inlineStr">
        <is>
          <t>https://www.teqsa.gov.au/national-register | https://universitiesaustralia.edu.au/our-universities/university-profiles/</t>
        </is>
      </c>
      <c r="M6" t="inlineStr">
        <is>
          <t>city_au_canberra</t>
        </is>
      </c>
      <c r="N6" t="inlineStr">
        <is>
          <t>AU-ACT</t>
        </is>
      </c>
      <c r="O6" t="inlineStr">
        <is>
          <t>SOURCE_MATCHED</t>
        </is>
      </c>
    </row>
    <row r="7" ht="28" customHeight="1">
      <c r="A7" t="inlineStr">
        <is>
          <t>INS-AUS-0005</t>
        </is>
      </c>
      <c r="C7" t="inlineStr">
        <is>
          <t>Charles Sturt University</t>
        </is>
      </c>
      <c r="D7" t="inlineStr">
        <is>
          <t>Charles Sturt University</t>
        </is>
      </c>
      <c r="E7" t="inlineStr">
        <is>
          <t>Australia</t>
        </is>
      </c>
      <c r="F7" t="inlineStr">
        <is>
          <t>AUS</t>
        </is>
      </c>
      <c r="G7" t="inlineStr">
        <is>
          <t>Bathurst</t>
        </is>
      </c>
      <c r="H7" t="inlineStr">
        <is>
          <t>University</t>
        </is>
      </c>
      <c r="I7" t="inlineStr">
        <is>
          <t>Public</t>
        </is>
      </c>
      <c r="J7" t="inlineStr">
        <is>
          <t>Active</t>
        </is>
      </c>
      <c r="K7" t="inlineStr">
        <is>
          <t>https://www.csu.edu.au/</t>
        </is>
      </c>
      <c r="L7" t="inlineStr">
        <is>
          <t>https://www.teqsa.gov.au/national-register | https://universitiesaustralia.edu.au/our-universities/university-profiles/</t>
        </is>
      </c>
      <c r="M7" t="inlineStr">
        <is>
          <t>city_au_geonames_2176632</t>
        </is>
      </c>
      <c r="N7" t="inlineStr">
        <is>
          <t>AU-NSW</t>
        </is>
      </c>
      <c r="O7" t="inlineStr">
        <is>
          <t>SOURCE_MATCHED</t>
        </is>
      </c>
    </row>
    <row r="8" ht="28" customHeight="1">
      <c r="A8" t="inlineStr">
        <is>
          <t>INS-AUS-0006</t>
        </is>
      </c>
      <c r="C8" t="inlineStr">
        <is>
          <t>Macquarie University</t>
        </is>
      </c>
      <c r="D8" t="inlineStr">
        <is>
          <t>Macquarie University</t>
        </is>
      </c>
      <c r="E8" t="inlineStr">
        <is>
          <t>Australia</t>
        </is>
      </c>
      <c r="F8" t="inlineStr">
        <is>
          <t>AUS</t>
        </is>
      </c>
      <c r="G8" t="inlineStr">
        <is>
          <t>Sydney</t>
        </is>
      </c>
      <c r="H8" t="inlineStr">
        <is>
          <t>University</t>
        </is>
      </c>
      <c r="I8" t="inlineStr">
        <is>
          <t>Public</t>
        </is>
      </c>
      <c r="J8" t="inlineStr">
        <is>
          <t>Active</t>
        </is>
      </c>
      <c r="K8" t="inlineStr">
        <is>
          <t>https://www.mq.edu.au/</t>
        </is>
      </c>
      <c r="L8" t="inlineStr">
        <is>
          <t>https://www.teqsa.gov.au/national-register | https://universitiesaustralia.edu.au/our-universities/university-profiles/</t>
        </is>
      </c>
      <c r="M8" t="inlineStr">
        <is>
          <t>city_au_sydney</t>
        </is>
      </c>
      <c r="N8" t="inlineStr">
        <is>
          <t>AU-NSW</t>
        </is>
      </c>
      <c r="O8" t="inlineStr">
        <is>
          <t>SOURCE_MATCHED</t>
        </is>
      </c>
    </row>
    <row r="9" ht="28" customHeight="1">
      <c r="A9" t="inlineStr">
        <is>
          <t>INS-AUS-0007</t>
        </is>
      </c>
      <c r="C9" t="inlineStr">
        <is>
          <t>Southern Cross University</t>
        </is>
      </c>
      <c r="D9" t="inlineStr">
        <is>
          <t>Southern Cross University</t>
        </is>
      </c>
      <c r="E9" t="inlineStr">
        <is>
          <t>Australia</t>
        </is>
      </c>
      <c r="F9" t="inlineStr">
        <is>
          <t>AUS</t>
        </is>
      </c>
      <c r="G9" t="inlineStr">
        <is>
          <t>Lismore</t>
        </is>
      </c>
      <c r="H9" t="inlineStr">
        <is>
          <t>University</t>
        </is>
      </c>
      <c r="I9" t="inlineStr">
        <is>
          <t>Public</t>
        </is>
      </c>
      <c r="J9" t="inlineStr">
        <is>
          <t>Active</t>
        </is>
      </c>
      <c r="K9" t="inlineStr">
        <is>
          <t>https://www.scu.edu.au/</t>
        </is>
      </c>
      <c r="L9" t="inlineStr">
        <is>
          <t>https://www.teqsa.gov.au/national-register | https://universitiesaustralia.edu.au/our-universities/university-profiles/</t>
        </is>
      </c>
      <c r="M9" t="inlineStr">
        <is>
          <t>city_au_geonames_2160063</t>
        </is>
      </c>
      <c r="N9" t="inlineStr">
        <is>
          <t>AU-NSW</t>
        </is>
      </c>
      <c r="O9" t="inlineStr">
        <is>
          <t>SOURCE_MATCHED</t>
        </is>
      </c>
    </row>
    <row r="10" ht="28" customHeight="1">
      <c r="A10" t="inlineStr">
        <is>
          <t>INS-AUS-0008</t>
        </is>
      </c>
      <c r="C10" t="inlineStr">
        <is>
          <t>The University of New England</t>
        </is>
      </c>
      <c r="D10" t="inlineStr">
        <is>
          <t>The University of New England</t>
        </is>
      </c>
      <c r="E10" t="inlineStr">
        <is>
          <t>Australia</t>
        </is>
      </c>
      <c r="F10" t="inlineStr">
        <is>
          <t>AUS</t>
        </is>
      </c>
      <c r="G10" t="inlineStr">
        <is>
          <t>Armidale</t>
        </is>
      </c>
      <c r="H10" t="inlineStr">
        <is>
          <t>University</t>
        </is>
      </c>
      <c r="I10" t="inlineStr">
        <is>
          <t>Public</t>
        </is>
      </c>
      <c r="J10" t="inlineStr">
        <is>
          <t>Active</t>
        </is>
      </c>
      <c r="K10" t="inlineStr">
        <is>
          <t>https://www.une.edu.au/</t>
        </is>
      </c>
      <c r="L10" t="inlineStr">
        <is>
          <t>https://www.teqsa.gov.au/national-register | https://universitiesaustralia.edu.au/our-universities/university-profiles/</t>
        </is>
      </c>
      <c r="M10" t="inlineStr">
        <is>
          <t>city_au_geonames_2177671</t>
        </is>
      </c>
      <c r="N10" t="inlineStr">
        <is>
          <t>AU-NSW</t>
        </is>
      </c>
      <c r="O10" t="inlineStr">
        <is>
          <t>SOURCE_MATCHED</t>
        </is>
      </c>
    </row>
    <row r="11" ht="28" customHeight="1">
      <c r="A11" t="inlineStr">
        <is>
          <t>INS-AUS-0009</t>
        </is>
      </c>
      <c r="C11" t="inlineStr">
        <is>
          <t>The University of Newcastle</t>
        </is>
      </c>
      <c r="D11" t="inlineStr">
        <is>
          <t>The University of Newcastle</t>
        </is>
      </c>
      <c r="E11" t="inlineStr">
        <is>
          <t>Australia</t>
        </is>
      </c>
      <c r="F11" t="inlineStr">
        <is>
          <t>AUS</t>
        </is>
      </c>
      <c r="G11" t="inlineStr">
        <is>
          <t>Newcastle</t>
        </is>
      </c>
      <c r="H11" t="inlineStr">
        <is>
          <t>University</t>
        </is>
      </c>
      <c r="I11" t="inlineStr">
        <is>
          <t>Public</t>
        </is>
      </c>
      <c r="J11" t="inlineStr">
        <is>
          <t>Active</t>
        </is>
      </c>
      <c r="K11" t="inlineStr">
        <is>
          <t>https://www.newcastle.edu.au/</t>
        </is>
      </c>
      <c r="L11" t="inlineStr">
        <is>
          <t>https://www.teqsa.gov.au/national-register | https://universitiesaustralia.edu.au/our-universities/university-profiles/</t>
        </is>
      </c>
      <c r="M11" t="inlineStr">
        <is>
          <t>city_au_newcastle</t>
        </is>
      </c>
      <c r="N11" t="inlineStr">
        <is>
          <t>AU-NSW</t>
        </is>
      </c>
      <c r="O11" t="inlineStr">
        <is>
          <t>SOURCE_MATCHED</t>
        </is>
      </c>
    </row>
    <row r="12" ht="28" customHeight="1">
      <c r="A12" t="inlineStr">
        <is>
          <t>INS-AUS-0010</t>
        </is>
      </c>
      <c r="C12" t="inlineStr">
        <is>
          <t>The University of Sydney</t>
        </is>
      </c>
      <c r="D12" t="inlineStr">
        <is>
          <t>The University of Sydney</t>
        </is>
      </c>
      <c r="E12" t="inlineStr">
        <is>
          <t>Australia</t>
        </is>
      </c>
      <c r="F12" t="inlineStr">
        <is>
          <t>AUS</t>
        </is>
      </c>
      <c r="G12" t="inlineStr">
        <is>
          <t>Sydney</t>
        </is>
      </c>
      <c r="H12" t="inlineStr">
        <is>
          <t>University</t>
        </is>
      </c>
      <c r="I12" t="inlineStr">
        <is>
          <t>Public</t>
        </is>
      </c>
      <c r="J12" t="inlineStr">
        <is>
          <t>Active</t>
        </is>
      </c>
      <c r="K12" t="inlineStr">
        <is>
          <t>https://www.sydney.edu.au/</t>
        </is>
      </c>
      <c r="L12" t="inlineStr">
        <is>
          <t>https://www.teqsa.gov.au/national-register | https://universitiesaustralia.edu.au/our-universities/university-profiles/</t>
        </is>
      </c>
      <c r="M12" t="inlineStr">
        <is>
          <t>city_au_sydney</t>
        </is>
      </c>
      <c r="N12" t="inlineStr">
        <is>
          <t>AU-NSW</t>
        </is>
      </c>
      <c r="O12" t="inlineStr">
        <is>
          <t>SOURCE_MATCHED</t>
        </is>
      </c>
    </row>
    <row r="13" ht="28" customHeight="1">
      <c r="A13" t="inlineStr">
        <is>
          <t>INS-AUS-0011</t>
        </is>
      </c>
      <c r="C13" t="inlineStr">
        <is>
          <t>University of Technology Sydney</t>
        </is>
      </c>
      <c r="D13" t="inlineStr">
        <is>
          <t>University of Technology Sydney</t>
        </is>
      </c>
      <c r="E13" t="inlineStr">
        <is>
          <t>Australia</t>
        </is>
      </c>
      <c r="F13" t="inlineStr">
        <is>
          <t>AUS</t>
        </is>
      </c>
      <c r="G13" t="inlineStr">
        <is>
          <t>Sydney</t>
        </is>
      </c>
      <c r="H13" t="inlineStr">
        <is>
          <t>Technical University</t>
        </is>
      </c>
      <c r="I13" t="inlineStr">
        <is>
          <t>Public</t>
        </is>
      </c>
      <c r="J13" t="inlineStr">
        <is>
          <t>Active</t>
        </is>
      </c>
      <c r="K13" t="inlineStr">
        <is>
          <t>https://www.uts.edu.au/</t>
        </is>
      </c>
      <c r="L13" t="inlineStr">
        <is>
          <t>https://www.teqsa.gov.au/national-register | https://universitiesaustralia.edu.au/our-universities/university-profiles/</t>
        </is>
      </c>
      <c r="M13" t="inlineStr">
        <is>
          <t>city_au_sydney</t>
        </is>
      </c>
      <c r="N13" t="inlineStr">
        <is>
          <t>AU-NSW</t>
        </is>
      </c>
      <c r="O13" t="inlineStr">
        <is>
          <t>SOURCE_MATCHED</t>
        </is>
      </c>
    </row>
    <row r="14" ht="28" customHeight="1">
      <c r="A14" t="inlineStr">
        <is>
          <t>INS-AUS-0012</t>
        </is>
      </c>
      <c r="C14" t="inlineStr">
        <is>
          <t>University of Wollongong</t>
        </is>
      </c>
      <c r="D14" t="inlineStr">
        <is>
          <t>University of Wollongong</t>
        </is>
      </c>
      <c r="E14" t="inlineStr">
        <is>
          <t>Australia</t>
        </is>
      </c>
      <c r="F14" t="inlineStr">
        <is>
          <t>AUS</t>
        </is>
      </c>
      <c r="G14" t="inlineStr">
        <is>
          <t>Wollongong</t>
        </is>
      </c>
      <c r="H14" t="inlineStr">
        <is>
          <t>University</t>
        </is>
      </c>
      <c r="I14" t="inlineStr">
        <is>
          <t>Public</t>
        </is>
      </c>
      <c r="J14" t="inlineStr">
        <is>
          <t>Active</t>
        </is>
      </c>
      <c r="K14" t="inlineStr">
        <is>
          <t>https://www.uow.edu.au/</t>
        </is>
      </c>
      <c r="L14" t="inlineStr">
        <is>
          <t>https://www.teqsa.gov.au/national-register | https://universitiesaustralia.edu.au/our-universities/university-profiles/</t>
        </is>
      </c>
      <c r="M14" t="inlineStr">
        <is>
          <t>city_au_wollongong</t>
        </is>
      </c>
      <c r="N14" t="inlineStr">
        <is>
          <t>AU-NSW</t>
        </is>
      </c>
      <c r="O14" t="inlineStr">
        <is>
          <t>SOURCE_MATCHED</t>
        </is>
      </c>
    </row>
    <row r="15" ht="28" customHeight="1">
      <c r="A15" t="inlineStr">
        <is>
          <t>INS-AUS-0013</t>
        </is>
      </c>
      <c r="C15" t="inlineStr">
        <is>
          <t>UNSW Sydney</t>
        </is>
      </c>
      <c r="D15" t="inlineStr">
        <is>
          <t>UNSW Sydney</t>
        </is>
      </c>
      <c r="E15" t="inlineStr">
        <is>
          <t>Australia</t>
        </is>
      </c>
      <c r="F15" t="inlineStr">
        <is>
          <t>AUS</t>
        </is>
      </c>
      <c r="G15" t="inlineStr">
        <is>
          <t>Sydney</t>
        </is>
      </c>
      <c r="H15" t="inlineStr">
        <is>
          <t>University</t>
        </is>
      </c>
      <c r="I15" t="inlineStr">
        <is>
          <t>Public</t>
        </is>
      </c>
      <c r="J15" t="inlineStr">
        <is>
          <t>Active</t>
        </is>
      </c>
      <c r="K15" t="inlineStr">
        <is>
          <t>https://www.unsw.edu.au/</t>
        </is>
      </c>
      <c r="L15" t="inlineStr">
        <is>
          <t>https://www.teqsa.gov.au/national-register | https://universitiesaustralia.edu.au/our-universities/university-profiles/</t>
        </is>
      </c>
      <c r="M15" t="inlineStr">
        <is>
          <t>city_au_sydney</t>
        </is>
      </c>
      <c r="N15" t="inlineStr">
        <is>
          <t>AU-NSW</t>
        </is>
      </c>
      <c r="O15" t="inlineStr">
        <is>
          <t>SOURCE_MATCHED</t>
        </is>
      </c>
    </row>
    <row r="16" ht="28" customHeight="1">
      <c r="A16" t="inlineStr">
        <is>
          <t>INS-AUS-0015</t>
        </is>
      </c>
      <c r="C16" t="inlineStr">
        <is>
          <t>Charles Darwin University</t>
        </is>
      </c>
      <c r="D16" t="inlineStr">
        <is>
          <t>Charles Darwin University</t>
        </is>
      </c>
      <c r="E16" t="inlineStr">
        <is>
          <t>Australia</t>
        </is>
      </c>
      <c r="F16" t="inlineStr">
        <is>
          <t>AUS</t>
        </is>
      </c>
      <c r="G16" t="inlineStr">
        <is>
          <t>Darwin</t>
        </is>
      </c>
      <c r="H16" t="inlineStr">
        <is>
          <t>University</t>
        </is>
      </c>
      <c r="I16" t="inlineStr">
        <is>
          <t>Public</t>
        </is>
      </c>
      <c r="J16" t="inlineStr">
        <is>
          <t>Active</t>
        </is>
      </c>
      <c r="K16" t="inlineStr">
        <is>
          <t>https://www.cdu.edu.au/</t>
        </is>
      </c>
      <c r="L16" t="inlineStr">
        <is>
          <t>https://www.teqsa.gov.au/national-register | https://universitiesaustralia.edu.au/our-universities/university-profiles/</t>
        </is>
      </c>
      <c r="M16" t="inlineStr">
        <is>
          <t>city_au_darwin</t>
        </is>
      </c>
      <c r="N16" t="inlineStr">
        <is>
          <t>AU-NT</t>
        </is>
      </c>
      <c r="O16" t="inlineStr">
        <is>
          <t>SOURCE_MATCHED</t>
        </is>
      </c>
    </row>
    <row r="17" ht="28" customHeight="1">
      <c r="A17" t="inlineStr">
        <is>
          <t>INS-AUS-0016</t>
        </is>
      </c>
      <c r="C17" t="inlineStr">
        <is>
          <t>Bond University</t>
        </is>
      </c>
      <c r="D17" t="inlineStr">
        <is>
          <t>Bond University</t>
        </is>
      </c>
      <c r="E17" t="inlineStr">
        <is>
          <t>Australia</t>
        </is>
      </c>
      <c r="F17" t="inlineStr">
        <is>
          <t>AUS</t>
        </is>
      </c>
      <c r="G17" t="inlineStr">
        <is>
          <t>Gold Coast</t>
        </is>
      </c>
      <c r="H17" t="inlineStr">
        <is>
          <t>University</t>
        </is>
      </c>
      <c r="I17" t="inlineStr">
        <is>
          <t>Private</t>
        </is>
      </c>
      <c r="J17" t="inlineStr">
        <is>
          <t>Active</t>
        </is>
      </c>
      <c r="K17" t="inlineStr">
        <is>
          <t>https://bond.edu.au/</t>
        </is>
      </c>
      <c r="L17" t="inlineStr">
        <is>
          <t>https://www.teqsa.gov.au/national-register | https://universitiesaustralia.edu.au/our-universities/university-profiles/</t>
        </is>
      </c>
      <c r="M17" t="inlineStr">
        <is>
          <t>city_au_gold_coast</t>
        </is>
      </c>
      <c r="N17" t="inlineStr">
        <is>
          <t>AU-QLD</t>
        </is>
      </c>
      <c r="O17" t="inlineStr">
        <is>
          <t>SOURCE_MATCHED</t>
        </is>
      </c>
    </row>
    <row r="18" ht="28" customHeight="1">
      <c r="A18" t="inlineStr">
        <is>
          <t>INS-AUS-0017</t>
        </is>
      </c>
      <c r="C18" t="inlineStr">
        <is>
          <t>CQUniversity Australia</t>
        </is>
      </c>
      <c r="D18" t="inlineStr">
        <is>
          <t>CQUniversity Australia</t>
        </is>
      </c>
      <c r="E18" t="inlineStr">
        <is>
          <t>Australia</t>
        </is>
      </c>
      <c r="F18" t="inlineStr">
        <is>
          <t>AUS</t>
        </is>
      </c>
      <c r="G18" t="inlineStr">
        <is>
          <t>Rockhampton</t>
        </is>
      </c>
      <c r="H18" t="inlineStr">
        <is>
          <t>University</t>
        </is>
      </c>
      <c r="I18" t="inlineStr">
        <is>
          <t>Public</t>
        </is>
      </c>
      <c r="J18" t="inlineStr">
        <is>
          <t>Active</t>
        </is>
      </c>
      <c r="K18" t="inlineStr">
        <is>
          <t>https://www.cqu.edu.au/</t>
        </is>
      </c>
      <c r="L18" t="inlineStr">
        <is>
          <t>https://www.teqsa.gov.au/national-register | https://universitiesaustralia.edu.au/our-universities/university-profiles/</t>
        </is>
      </c>
      <c r="M18" t="inlineStr">
        <is>
          <t>city_au_rockhampton</t>
        </is>
      </c>
      <c r="N18" t="inlineStr">
        <is>
          <t>AU-QLD</t>
        </is>
      </c>
      <c r="O18" t="inlineStr">
        <is>
          <t>SOURCE_MATCHED</t>
        </is>
      </c>
    </row>
    <row r="19" ht="28" customHeight="1">
      <c r="A19" t="inlineStr">
        <is>
          <t>INS-AUS-0018</t>
        </is>
      </c>
      <c r="C19" t="inlineStr">
        <is>
          <t>Griffith University</t>
        </is>
      </c>
      <c r="D19" t="inlineStr">
        <is>
          <t>Griffith University</t>
        </is>
      </c>
      <c r="E19" t="inlineStr">
        <is>
          <t>Australia</t>
        </is>
      </c>
      <c r="F19" t="inlineStr">
        <is>
          <t>AUS</t>
        </is>
      </c>
      <c r="G19" t="inlineStr">
        <is>
          <t>Brisbane</t>
        </is>
      </c>
      <c r="H19" t="inlineStr">
        <is>
          <t>University</t>
        </is>
      </c>
      <c r="I19" t="inlineStr">
        <is>
          <t>Public</t>
        </is>
      </c>
      <c r="J19" t="inlineStr">
        <is>
          <t>Active</t>
        </is>
      </c>
      <c r="K19" t="inlineStr">
        <is>
          <t>https://www.griffith.edu.au/</t>
        </is>
      </c>
      <c r="L19" t="inlineStr">
        <is>
          <t>https://www.teqsa.gov.au/national-register | https://universitiesaustralia.edu.au/our-universities/university-profiles/</t>
        </is>
      </c>
      <c r="M19" t="inlineStr">
        <is>
          <t>city_au_brisbane</t>
        </is>
      </c>
      <c r="N19" t="inlineStr">
        <is>
          <t>AU-QLD</t>
        </is>
      </c>
      <c r="O19" t="inlineStr">
        <is>
          <t>SOURCE_MATCHED</t>
        </is>
      </c>
    </row>
    <row r="20" ht="28" customHeight="1">
      <c r="A20" t="inlineStr">
        <is>
          <t>INS-AUS-0019</t>
        </is>
      </c>
      <c r="C20" t="inlineStr">
        <is>
          <t>James Cook University</t>
        </is>
      </c>
      <c r="D20" t="inlineStr">
        <is>
          <t>James Cook University</t>
        </is>
      </c>
      <c r="E20" t="inlineStr">
        <is>
          <t>Australia</t>
        </is>
      </c>
      <c r="F20" t="inlineStr">
        <is>
          <t>AUS</t>
        </is>
      </c>
      <c r="G20" t="inlineStr">
        <is>
          <t>Townsville</t>
        </is>
      </c>
      <c r="H20" t="inlineStr">
        <is>
          <t>University</t>
        </is>
      </c>
      <c r="I20" t="inlineStr">
        <is>
          <t>Public</t>
        </is>
      </c>
      <c r="J20" t="inlineStr">
        <is>
          <t>Active</t>
        </is>
      </c>
      <c r="K20" t="inlineStr">
        <is>
          <t>https://www.jcu.edu.au/</t>
        </is>
      </c>
      <c r="L20" t="inlineStr">
        <is>
          <t>https://www.teqsa.gov.au/national-register | https://universitiesaustralia.edu.au/our-universities/university-profiles/</t>
        </is>
      </c>
      <c r="M20" t="inlineStr">
        <is>
          <t>city_au_townsville</t>
        </is>
      </c>
      <c r="N20" t="inlineStr">
        <is>
          <t>AU-QLD</t>
        </is>
      </c>
      <c r="O20" t="inlineStr">
        <is>
          <t>SOURCE_MATCHED</t>
        </is>
      </c>
    </row>
    <row r="21" ht="28" customHeight="1">
      <c r="A21" t="inlineStr">
        <is>
          <t>INS-AUS-0020</t>
        </is>
      </c>
      <c r="C21" t="inlineStr">
        <is>
          <t>Queensland University of Technology</t>
        </is>
      </c>
      <c r="D21" t="inlineStr">
        <is>
          <t>Queensland University of Technology</t>
        </is>
      </c>
      <c r="E21" t="inlineStr">
        <is>
          <t>Australia</t>
        </is>
      </c>
      <c r="F21" t="inlineStr">
        <is>
          <t>AUS</t>
        </is>
      </c>
      <c r="G21" t="inlineStr">
        <is>
          <t>Brisbane</t>
        </is>
      </c>
      <c r="H21" t="inlineStr">
        <is>
          <t>Technical University</t>
        </is>
      </c>
      <c r="I21" t="inlineStr">
        <is>
          <t>Public</t>
        </is>
      </c>
      <c r="J21" t="inlineStr">
        <is>
          <t>Active</t>
        </is>
      </c>
      <c r="K21" t="inlineStr">
        <is>
          <t>https://www.qut.edu.au/</t>
        </is>
      </c>
      <c r="L21" t="inlineStr">
        <is>
          <t>https://www.teqsa.gov.au/national-register | https://universitiesaustralia.edu.au/our-universities/university-profiles/</t>
        </is>
      </c>
      <c r="M21" t="inlineStr">
        <is>
          <t>city_au_brisbane</t>
        </is>
      </c>
      <c r="N21" t="inlineStr">
        <is>
          <t>AU-QLD</t>
        </is>
      </c>
      <c r="O21" t="inlineStr">
        <is>
          <t>SOURCE_MATCHED</t>
        </is>
      </c>
    </row>
    <row r="22" ht="28" customHeight="1">
      <c r="A22" t="inlineStr">
        <is>
          <t>INS-AUS-0021</t>
        </is>
      </c>
      <c r="C22" t="inlineStr">
        <is>
          <t>The University of Queensland</t>
        </is>
      </c>
      <c r="D22" t="inlineStr">
        <is>
          <t>The University of Queensland</t>
        </is>
      </c>
      <c r="E22" t="inlineStr">
        <is>
          <t>Australia</t>
        </is>
      </c>
      <c r="F22" t="inlineStr">
        <is>
          <t>AUS</t>
        </is>
      </c>
      <c r="G22" t="inlineStr">
        <is>
          <t>Brisbane</t>
        </is>
      </c>
      <c r="H22" t="inlineStr">
        <is>
          <t>University</t>
        </is>
      </c>
      <c r="I22" t="inlineStr">
        <is>
          <t>Public</t>
        </is>
      </c>
      <c r="J22" t="inlineStr">
        <is>
          <t>Active</t>
        </is>
      </c>
      <c r="K22" t="inlineStr">
        <is>
          <t>https://www.uq.edu.au/</t>
        </is>
      </c>
      <c r="L22" t="inlineStr">
        <is>
          <t>https://www.teqsa.gov.au/national-register | https://universitiesaustralia.edu.au/our-universities/university-profiles/</t>
        </is>
      </c>
      <c r="M22" t="inlineStr">
        <is>
          <t>city_au_brisbane</t>
        </is>
      </c>
      <c r="N22" t="inlineStr">
        <is>
          <t>AU-QLD</t>
        </is>
      </c>
      <c r="O22" t="inlineStr">
        <is>
          <t>SOURCE_MATCHED</t>
        </is>
      </c>
    </row>
    <row r="23" ht="28" customHeight="1">
      <c r="A23" t="inlineStr">
        <is>
          <t>INS-AUS-0022</t>
        </is>
      </c>
      <c r="C23" t="inlineStr">
        <is>
          <t>University of Southern Queensland</t>
        </is>
      </c>
      <c r="D23" t="inlineStr">
        <is>
          <t>University of Southern Queensland</t>
        </is>
      </c>
      <c r="E23" t="inlineStr">
        <is>
          <t>Australia</t>
        </is>
      </c>
      <c r="F23" t="inlineStr">
        <is>
          <t>AUS</t>
        </is>
      </c>
      <c r="G23" t="inlineStr">
        <is>
          <t>Toowoomba</t>
        </is>
      </c>
      <c r="H23" t="inlineStr">
        <is>
          <t>University</t>
        </is>
      </c>
      <c r="I23" t="inlineStr">
        <is>
          <t>Public</t>
        </is>
      </c>
      <c r="J23" t="inlineStr">
        <is>
          <t>Active</t>
        </is>
      </c>
      <c r="K23" t="inlineStr">
        <is>
          <t>https://www.unisq.edu.au/</t>
        </is>
      </c>
      <c r="L23" t="inlineStr">
        <is>
          <t>https://www.teqsa.gov.au/national-register | https://universitiesaustralia.edu.au/our-universities/university-profiles/</t>
        </is>
      </c>
      <c r="M23" t="inlineStr">
        <is>
          <t>city_au_toowoomba</t>
        </is>
      </c>
      <c r="N23" t="inlineStr">
        <is>
          <t>AU-QLD</t>
        </is>
      </c>
      <c r="O23" t="inlineStr">
        <is>
          <t>SOURCE_MATCHED</t>
        </is>
      </c>
    </row>
    <row r="24" ht="28" customHeight="1">
      <c r="A24" t="inlineStr">
        <is>
          <t>INS-AUS-0024</t>
        </is>
      </c>
      <c r="C24" t="inlineStr">
        <is>
          <t>Adelaide University</t>
        </is>
      </c>
      <c r="D24" t="inlineStr">
        <is>
          <t>Adelaide University</t>
        </is>
      </c>
      <c r="E24" t="inlineStr">
        <is>
          <t>Australia</t>
        </is>
      </c>
      <c r="F24" t="inlineStr">
        <is>
          <t>AUS</t>
        </is>
      </c>
      <c r="G24" t="inlineStr">
        <is>
          <t>Adelaide</t>
        </is>
      </c>
      <c r="H24" t="inlineStr">
        <is>
          <t>University</t>
        </is>
      </c>
      <c r="I24" t="inlineStr">
        <is>
          <t>Public</t>
        </is>
      </c>
      <c r="J24" t="inlineStr">
        <is>
          <t>Active</t>
        </is>
      </c>
      <c r="K24" t="inlineStr">
        <is>
          <t>https://adelaide.edu.au/</t>
        </is>
      </c>
      <c r="L24" t="inlineStr">
        <is>
          <t>https://www.teqsa.gov.au/national-register | https://universitiesaustralia.edu.au/our-universities/university-profiles/</t>
        </is>
      </c>
      <c r="M24" t="inlineStr">
        <is>
          <t>city_au_adelaide</t>
        </is>
      </c>
      <c r="N24" t="inlineStr">
        <is>
          <t>AU-SA</t>
        </is>
      </c>
      <c r="O24" t="inlineStr">
        <is>
          <t>SOURCE_MATCHED</t>
        </is>
      </c>
    </row>
    <row r="25" ht="28" customHeight="1">
      <c r="A25" t="inlineStr">
        <is>
          <t>INS-AUS-0025</t>
        </is>
      </c>
      <c r="C25" t="inlineStr">
        <is>
          <t>Flinders University</t>
        </is>
      </c>
      <c r="D25" t="inlineStr">
        <is>
          <t>Flinders University</t>
        </is>
      </c>
      <c r="E25" t="inlineStr">
        <is>
          <t>Australia</t>
        </is>
      </c>
      <c r="F25" t="inlineStr">
        <is>
          <t>AUS</t>
        </is>
      </c>
      <c r="G25" t="inlineStr">
        <is>
          <t>Adelaide</t>
        </is>
      </c>
      <c r="H25" t="inlineStr">
        <is>
          <t>University</t>
        </is>
      </c>
      <c r="I25" t="inlineStr">
        <is>
          <t>Public</t>
        </is>
      </c>
      <c r="J25" t="inlineStr">
        <is>
          <t>Active</t>
        </is>
      </c>
      <c r="K25" t="inlineStr">
        <is>
          <t>https://www.flinders.edu.au/</t>
        </is>
      </c>
      <c r="L25" t="inlineStr">
        <is>
          <t>https://www.teqsa.gov.au/national-register | https://universitiesaustralia.edu.au/our-universities/university-profiles/</t>
        </is>
      </c>
      <c r="M25" t="inlineStr">
        <is>
          <t>city_au_adelaide</t>
        </is>
      </c>
      <c r="N25" t="inlineStr">
        <is>
          <t>AU-SA</t>
        </is>
      </c>
      <c r="O25" t="inlineStr">
        <is>
          <t>SOURCE_MATCHED</t>
        </is>
      </c>
    </row>
    <row r="26" ht="28" customHeight="1">
      <c r="A26" t="inlineStr">
        <is>
          <t>INS-AUS-0026</t>
        </is>
      </c>
      <c r="C26" t="inlineStr">
        <is>
          <t>University of Tasmania</t>
        </is>
      </c>
      <c r="D26" t="inlineStr">
        <is>
          <t>University of Tasmania</t>
        </is>
      </c>
      <c r="E26" t="inlineStr">
        <is>
          <t>Australia</t>
        </is>
      </c>
      <c r="F26" t="inlineStr">
        <is>
          <t>AUS</t>
        </is>
      </c>
      <c r="G26" t="inlineStr">
        <is>
          <t>Hobart</t>
        </is>
      </c>
      <c r="H26" t="inlineStr">
        <is>
          <t>University</t>
        </is>
      </c>
      <c r="I26" t="inlineStr">
        <is>
          <t>Public</t>
        </is>
      </c>
      <c r="J26" t="inlineStr">
        <is>
          <t>Active</t>
        </is>
      </c>
      <c r="K26" t="inlineStr">
        <is>
          <t>https://www.utas.edu.au/</t>
        </is>
      </c>
      <c r="L26" t="inlineStr">
        <is>
          <t>https://www.teqsa.gov.au/national-register | https://universitiesaustralia.edu.au/our-universities/university-profiles/</t>
        </is>
      </c>
      <c r="M26" t="inlineStr">
        <is>
          <t>city_au_hobart</t>
        </is>
      </c>
      <c r="N26" t="inlineStr">
        <is>
          <t>AU-TAS</t>
        </is>
      </c>
      <c r="O26" t="inlineStr">
        <is>
          <t>SOURCE_MATCHED</t>
        </is>
      </c>
    </row>
    <row r="27" ht="28" customHeight="1">
      <c r="A27" t="inlineStr">
        <is>
          <t>INS-AUS-0027</t>
        </is>
      </c>
      <c r="C27" t="inlineStr">
        <is>
          <t>Deakin University</t>
        </is>
      </c>
      <c r="D27" t="inlineStr">
        <is>
          <t>Deakin University</t>
        </is>
      </c>
      <c r="E27" t="inlineStr">
        <is>
          <t>Australia</t>
        </is>
      </c>
      <c r="F27" t="inlineStr">
        <is>
          <t>AUS</t>
        </is>
      </c>
      <c r="G27" t="inlineStr">
        <is>
          <t>Geelong</t>
        </is>
      </c>
      <c r="H27" t="inlineStr">
        <is>
          <t>University</t>
        </is>
      </c>
      <c r="I27" t="inlineStr">
        <is>
          <t>Public</t>
        </is>
      </c>
      <c r="J27" t="inlineStr">
        <is>
          <t>Active</t>
        </is>
      </c>
      <c r="K27" t="inlineStr">
        <is>
          <t>https://www.deakin.edu.au/</t>
        </is>
      </c>
      <c r="L27" t="inlineStr">
        <is>
          <t>https://www.teqsa.gov.au/national-register | https://universitiesaustralia.edu.au/our-universities/university-profiles/</t>
        </is>
      </c>
      <c r="M27" t="inlineStr">
        <is>
          <t>city_au_geelong</t>
        </is>
      </c>
      <c r="N27" t="inlineStr">
        <is>
          <t>AU-VIC</t>
        </is>
      </c>
      <c r="O27" t="inlineStr">
        <is>
          <t>SOURCE_MATCHED</t>
        </is>
      </c>
    </row>
    <row r="28" ht="28" customHeight="1">
      <c r="A28" t="inlineStr">
        <is>
          <t>INS-AUS-0028</t>
        </is>
      </c>
      <c r="C28" t="inlineStr">
        <is>
          <t>Federation University Australia</t>
        </is>
      </c>
      <c r="D28" t="inlineStr">
        <is>
          <t>Federation University Australia</t>
        </is>
      </c>
      <c r="E28" t="inlineStr">
        <is>
          <t>Australia</t>
        </is>
      </c>
      <c r="F28" t="inlineStr">
        <is>
          <t>AUS</t>
        </is>
      </c>
      <c r="G28" t="inlineStr">
        <is>
          <t>Ballarat</t>
        </is>
      </c>
      <c r="H28" t="inlineStr">
        <is>
          <t>University</t>
        </is>
      </c>
      <c r="I28" t="inlineStr">
        <is>
          <t>Public</t>
        </is>
      </c>
      <c r="J28" t="inlineStr">
        <is>
          <t>Active</t>
        </is>
      </c>
      <c r="K28" t="inlineStr">
        <is>
          <t>https://federation.edu.au/</t>
        </is>
      </c>
      <c r="L28" t="inlineStr">
        <is>
          <t>https://www.teqsa.gov.au/national-register | https://universitiesaustralia.edu.au/our-universities/university-profiles/</t>
        </is>
      </c>
      <c r="M28" t="inlineStr">
        <is>
          <t>city_au_ballarat</t>
        </is>
      </c>
      <c r="N28" t="inlineStr">
        <is>
          <t>AU-VIC</t>
        </is>
      </c>
      <c r="O28" t="inlineStr">
        <is>
          <t>SOURCE_MATCHED</t>
        </is>
      </c>
    </row>
    <row r="29" ht="28" customHeight="1">
      <c r="A29" t="inlineStr">
        <is>
          <t>INS-AUS-0029</t>
        </is>
      </c>
      <c r="C29" t="inlineStr">
        <is>
          <t>La Trobe University</t>
        </is>
      </c>
      <c r="D29" t="inlineStr">
        <is>
          <t>La Trobe University</t>
        </is>
      </c>
      <c r="E29" t="inlineStr">
        <is>
          <t>Australia</t>
        </is>
      </c>
      <c r="F29" t="inlineStr">
        <is>
          <t>AUS</t>
        </is>
      </c>
      <c r="G29" t="inlineStr">
        <is>
          <t>Melbourne</t>
        </is>
      </c>
      <c r="H29" t="inlineStr">
        <is>
          <t>University</t>
        </is>
      </c>
      <c r="I29" t="inlineStr">
        <is>
          <t>Public</t>
        </is>
      </c>
      <c r="J29" t="inlineStr">
        <is>
          <t>Active</t>
        </is>
      </c>
      <c r="K29" t="inlineStr">
        <is>
          <t>https://www.latrobe.edu.au/</t>
        </is>
      </c>
      <c r="L29" t="inlineStr">
        <is>
          <t>https://www.teqsa.gov.au/national-register | https://universitiesaustralia.edu.au/our-universities/university-profiles/</t>
        </is>
      </c>
      <c r="M29" t="inlineStr">
        <is>
          <t>city_au_melbourne</t>
        </is>
      </c>
      <c r="N29" t="inlineStr">
        <is>
          <t>AU-VIC</t>
        </is>
      </c>
      <c r="O29" t="inlineStr">
        <is>
          <t>SOURCE_MATCHED</t>
        </is>
      </c>
    </row>
    <row r="30" ht="28" customHeight="1">
      <c r="A30" t="inlineStr">
        <is>
          <t>INS-AUS-0030</t>
        </is>
      </c>
      <c r="C30" t="inlineStr">
        <is>
          <t>Monash University</t>
        </is>
      </c>
      <c r="D30" t="inlineStr">
        <is>
          <t>Monash University</t>
        </is>
      </c>
      <c r="E30" t="inlineStr">
        <is>
          <t>Australia</t>
        </is>
      </c>
      <c r="F30" t="inlineStr">
        <is>
          <t>AUS</t>
        </is>
      </c>
      <c r="G30" t="inlineStr">
        <is>
          <t>Melbourne</t>
        </is>
      </c>
      <c r="H30" t="inlineStr">
        <is>
          <t>University</t>
        </is>
      </c>
      <c r="I30" t="inlineStr">
        <is>
          <t>Public</t>
        </is>
      </c>
      <c r="J30" t="inlineStr">
        <is>
          <t>Active</t>
        </is>
      </c>
      <c r="K30" t="inlineStr">
        <is>
          <t>https://www.monash.edu/</t>
        </is>
      </c>
      <c r="L30" t="inlineStr">
        <is>
          <t>https://www.teqsa.gov.au/national-register | https://universitiesaustralia.edu.au/our-universities/university-profiles/</t>
        </is>
      </c>
      <c r="M30" t="inlineStr">
        <is>
          <t>city_au_melbourne</t>
        </is>
      </c>
      <c r="N30" t="inlineStr">
        <is>
          <t>AU-VIC</t>
        </is>
      </c>
      <c r="O30" t="inlineStr">
        <is>
          <t>SOURCE_MATCHED</t>
        </is>
      </c>
    </row>
    <row r="31" ht="28" customHeight="1">
      <c r="A31" t="inlineStr">
        <is>
          <t>INS-AUS-0031</t>
        </is>
      </c>
      <c r="C31" t="inlineStr">
        <is>
          <t>RMIT University</t>
        </is>
      </c>
      <c r="D31" t="inlineStr">
        <is>
          <t>RMIT University</t>
        </is>
      </c>
      <c r="E31" t="inlineStr">
        <is>
          <t>Australia</t>
        </is>
      </c>
      <c r="F31" t="inlineStr">
        <is>
          <t>AUS</t>
        </is>
      </c>
      <c r="G31" t="inlineStr">
        <is>
          <t>Melbourne</t>
        </is>
      </c>
      <c r="H31" t="inlineStr">
        <is>
          <t>Technical University</t>
        </is>
      </c>
      <c r="I31" t="inlineStr">
        <is>
          <t>Public</t>
        </is>
      </c>
      <c r="J31" t="inlineStr">
        <is>
          <t>Active</t>
        </is>
      </c>
      <c r="K31" t="inlineStr">
        <is>
          <t>https://www.rmit.edu.au/</t>
        </is>
      </c>
      <c r="L31" t="inlineStr">
        <is>
          <t>https://www.teqsa.gov.au/national-register | https://universitiesaustralia.edu.au/our-universities/university-profiles/</t>
        </is>
      </c>
      <c r="M31" t="inlineStr">
        <is>
          <t>city_au_melbourne</t>
        </is>
      </c>
      <c r="N31" t="inlineStr">
        <is>
          <t>AU-VIC</t>
        </is>
      </c>
      <c r="O31" t="inlineStr">
        <is>
          <t>SOURCE_MATCHED</t>
        </is>
      </c>
    </row>
    <row r="32" ht="28" customHeight="1">
      <c r="A32" t="inlineStr">
        <is>
          <t>INS-AUS-0032</t>
        </is>
      </c>
      <c r="C32" t="inlineStr">
        <is>
          <t>Swinburne University of Technology</t>
        </is>
      </c>
      <c r="D32" t="inlineStr">
        <is>
          <t>Swinburne University of Technology</t>
        </is>
      </c>
      <c r="E32" t="inlineStr">
        <is>
          <t>Australia</t>
        </is>
      </c>
      <c r="F32" t="inlineStr">
        <is>
          <t>AUS</t>
        </is>
      </c>
      <c r="G32" t="inlineStr">
        <is>
          <t>Melbourne</t>
        </is>
      </c>
      <c r="H32" t="inlineStr">
        <is>
          <t>Technical University</t>
        </is>
      </c>
      <c r="I32" t="inlineStr">
        <is>
          <t>Public</t>
        </is>
      </c>
      <c r="J32" t="inlineStr">
        <is>
          <t>Active</t>
        </is>
      </c>
      <c r="K32" t="inlineStr">
        <is>
          <t>https://www.swinburne.edu.au/</t>
        </is>
      </c>
      <c r="L32" t="inlineStr">
        <is>
          <t>https://www.teqsa.gov.au/national-register | https://universitiesaustralia.edu.au/our-universities/university-profiles/</t>
        </is>
      </c>
      <c r="M32" t="inlineStr">
        <is>
          <t>city_au_melbourne</t>
        </is>
      </c>
      <c r="N32" t="inlineStr">
        <is>
          <t>AU-VIC</t>
        </is>
      </c>
      <c r="O32" t="inlineStr">
        <is>
          <t>SOURCE_MATCHED</t>
        </is>
      </c>
    </row>
    <row r="33" ht="28" customHeight="1">
      <c r="A33" t="inlineStr">
        <is>
          <t>INS-AUS-0033</t>
        </is>
      </c>
      <c r="C33" t="inlineStr">
        <is>
          <t>The University of Melbourne</t>
        </is>
      </c>
      <c r="D33" t="inlineStr">
        <is>
          <t>The University of Melbourne</t>
        </is>
      </c>
      <c r="E33" t="inlineStr">
        <is>
          <t>Australia</t>
        </is>
      </c>
      <c r="F33" t="inlineStr">
        <is>
          <t>AUS</t>
        </is>
      </c>
      <c r="G33" t="inlineStr">
        <is>
          <t>Melbourne</t>
        </is>
      </c>
      <c r="H33" t="inlineStr">
        <is>
          <t>University</t>
        </is>
      </c>
      <c r="I33" t="inlineStr">
        <is>
          <t>Public</t>
        </is>
      </c>
      <c r="J33" t="inlineStr">
        <is>
          <t>Active</t>
        </is>
      </c>
      <c r="K33" t="inlineStr">
        <is>
          <t>https://www.unimelb.edu.au/</t>
        </is>
      </c>
      <c r="L33" t="inlineStr">
        <is>
          <t>https://www.teqsa.gov.au/national-register | https://universitiesaustralia.edu.au/our-universities/university-profiles/</t>
        </is>
      </c>
      <c r="M33" t="inlineStr">
        <is>
          <t>city_au_melbourne</t>
        </is>
      </c>
      <c r="N33" t="inlineStr">
        <is>
          <t>AU-VIC</t>
        </is>
      </c>
      <c r="O33" t="inlineStr">
        <is>
          <t>SOURCE_MATCHED</t>
        </is>
      </c>
    </row>
    <row r="34" ht="28" customHeight="1">
      <c r="A34" t="inlineStr">
        <is>
          <t>INS-AUS-0034</t>
        </is>
      </c>
      <c r="C34" t="inlineStr">
        <is>
          <t>Victoria University</t>
        </is>
      </c>
      <c r="D34" t="inlineStr">
        <is>
          <t>Victoria University</t>
        </is>
      </c>
      <c r="E34" t="inlineStr">
        <is>
          <t>Australia</t>
        </is>
      </c>
      <c r="F34" t="inlineStr">
        <is>
          <t>AUS</t>
        </is>
      </c>
      <c r="G34" t="inlineStr">
        <is>
          <t>Melbourne</t>
        </is>
      </c>
      <c r="H34" t="inlineStr">
        <is>
          <t>University</t>
        </is>
      </c>
      <c r="I34" t="inlineStr">
        <is>
          <t>Public</t>
        </is>
      </c>
      <c r="J34" t="inlineStr">
        <is>
          <t>Active</t>
        </is>
      </c>
      <c r="K34" t="inlineStr">
        <is>
          <t>https://www.vu.edu.au/</t>
        </is>
      </c>
      <c r="L34" t="inlineStr">
        <is>
          <t>https://www.teqsa.gov.au/national-register | https://universitiesaustralia.edu.au/our-universities/university-profiles/</t>
        </is>
      </c>
      <c r="M34" t="inlineStr">
        <is>
          <t>city_au_melbourne</t>
        </is>
      </c>
      <c r="N34" t="inlineStr">
        <is>
          <t>AU-VIC</t>
        </is>
      </c>
      <c r="O34" t="inlineStr">
        <is>
          <t>SOURCE_MATCHED</t>
        </is>
      </c>
    </row>
    <row r="35" ht="28" customHeight="1">
      <c r="A35" t="inlineStr">
        <is>
          <t>INS-AUS-0035</t>
        </is>
      </c>
      <c r="C35" t="inlineStr">
        <is>
          <t>Curtin University</t>
        </is>
      </c>
      <c r="D35" t="inlineStr">
        <is>
          <t>Curtin University</t>
        </is>
      </c>
      <c r="E35" t="inlineStr">
        <is>
          <t>Australia</t>
        </is>
      </c>
      <c r="F35" t="inlineStr">
        <is>
          <t>AUS</t>
        </is>
      </c>
      <c r="G35" t="inlineStr">
        <is>
          <t>Perth</t>
        </is>
      </c>
      <c r="H35" t="inlineStr">
        <is>
          <t>University</t>
        </is>
      </c>
      <c r="I35" t="inlineStr">
        <is>
          <t>Public</t>
        </is>
      </c>
      <c r="J35" t="inlineStr">
        <is>
          <t>Active</t>
        </is>
      </c>
      <c r="K35" t="inlineStr">
        <is>
          <t>https://www.curtin.edu.au/</t>
        </is>
      </c>
      <c r="L35" t="inlineStr">
        <is>
          <t>https://www.teqsa.gov.au/national-register | https://universitiesaustralia.edu.au/our-universities/university-profiles/</t>
        </is>
      </c>
      <c r="M35" t="inlineStr">
        <is>
          <t>city_au_perth</t>
        </is>
      </c>
      <c r="N35" t="inlineStr">
        <is>
          <t>AU-WA</t>
        </is>
      </c>
      <c r="O35" t="inlineStr">
        <is>
          <t>SOURCE_MATCHED</t>
        </is>
      </c>
    </row>
    <row r="36" ht="28" customHeight="1">
      <c r="A36" t="inlineStr">
        <is>
          <t>INS-AUS-0036</t>
        </is>
      </c>
      <c r="C36" t="inlineStr">
        <is>
          <t>Edith Cowan University</t>
        </is>
      </c>
      <c r="D36" t="inlineStr">
        <is>
          <t>Edith Cowan University</t>
        </is>
      </c>
      <c r="E36" t="inlineStr">
        <is>
          <t>Australia</t>
        </is>
      </c>
      <c r="F36" t="inlineStr">
        <is>
          <t>AUS</t>
        </is>
      </c>
      <c r="G36" t="inlineStr">
        <is>
          <t>Perth</t>
        </is>
      </c>
      <c r="H36" t="inlineStr">
        <is>
          <t>University</t>
        </is>
      </c>
      <c r="I36" t="inlineStr">
        <is>
          <t>Public</t>
        </is>
      </c>
      <c r="J36" t="inlineStr">
        <is>
          <t>Active</t>
        </is>
      </c>
      <c r="K36" t="inlineStr">
        <is>
          <t>https://www.ecu.edu.au/</t>
        </is>
      </c>
      <c r="L36" t="inlineStr">
        <is>
          <t>https://www.teqsa.gov.au/national-register | https://universitiesaustralia.edu.au/our-universities/university-profiles/</t>
        </is>
      </c>
      <c r="M36" t="inlineStr">
        <is>
          <t>city_au_perth</t>
        </is>
      </c>
      <c r="N36" t="inlineStr">
        <is>
          <t>AU-WA</t>
        </is>
      </c>
      <c r="O36" t="inlineStr">
        <is>
          <t>SOURCE_MATCHED</t>
        </is>
      </c>
    </row>
    <row r="37" ht="28" customHeight="1">
      <c r="A37" t="inlineStr">
        <is>
          <t>INS-AUS-0037</t>
        </is>
      </c>
      <c r="C37" t="inlineStr">
        <is>
          <t>Murdoch University</t>
        </is>
      </c>
      <c r="D37" t="inlineStr">
        <is>
          <t>Murdoch University</t>
        </is>
      </c>
      <c r="E37" t="inlineStr">
        <is>
          <t>Australia</t>
        </is>
      </c>
      <c r="F37" t="inlineStr">
        <is>
          <t>AUS</t>
        </is>
      </c>
      <c r="G37" t="inlineStr">
        <is>
          <t>Perth</t>
        </is>
      </c>
      <c r="H37" t="inlineStr">
        <is>
          <t>University</t>
        </is>
      </c>
      <c r="I37" t="inlineStr">
        <is>
          <t>Public</t>
        </is>
      </c>
      <c r="J37" t="inlineStr">
        <is>
          <t>Active</t>
        </is>
      </c>
      <c r="K37" t="inlineStr">
        <is>
          <t>https://www.murdoch.edu.au/</t>
        </is>
      </c>
      <c r="L37" t="inlineStr">
        <is>
          <t>https://www.teqsa.gov.au/national-register | https://universitiesaustralia.edu.au/our-universities/university-profiles/</t>
        </is>
      </c>
      <c r="M37" t="inlineStr">
        <is>
          <t>city_au_perth</t>
        </is>
      </c>
      <c r="N37" t="inlineStr">
        <is>
          <t>AU-WA</t>
        </is>
      </c>
      <c r="O37" t="inlineStr">
        <is>
          <t>SOURCE_MATCHED</t>
        </is>
      </c>
    </row>
    <row r="38" ht="28" customHeight="1">
      <c r="A38" t="inlineStr">
        <is>
          <t>INS-AUS-0038</t>
        </is>
      </c>
      <c r="C38" t="inlineStr">
        <is>
          <t>The University of Western Australia</t>
        </is>
      </c>
      <c r="D38" t="inlineStr">
        <is>
          <t>The University of Western Australia</t>
        </is>
      </c>
      <c r="E38" t="inlineStr">
        <is>
          <t>Australia</t>
        </is>
      </c>
      <c r="F38" t="inlineStr">
        <is>
          <t>AUS</t>
        </is>
      </c>
      <c r="G38" t="inlineStr">
        <is>
          <t>Perth</t>
        </is>
      </c>
      <c r="H38" t="inlineStr">
        <is>
          <t>University</t>
        </is>
      </c>
      <c r="I38" t="inlineStr">
        <is>
          <t>Public</t>
        </is>
      </c>
      <c r="J38" t="inlineStr">
        <is>
          <t>Active</t>
        </is>
      </c>
      <c r="K38" t="inlineStr">
        <is>
          <t>https://www.uwa.edu.au/</t>
        </is>
      </c>
      <c r="L38" t="inlineStr">
        <is>
          <t>https://www.teqsa.gov.au/national-register | https://universitiesaustralia.edu.au/our-universities/university-profiles/</t>
        </is>
      </c>
      <c r="M38" t="inlineStr">
        <is>
          <t>city_au_perth</t>
        </is>
      </c>
      <c r="N38" t="inlineStr">
        <is>
          <t>AU-WA</t>
        </is>
      </c>
      <c r="O38" t="inlineStr">
        <is>
          <t>SOURCE_MATCHED</t>
        </is>
      </c>
    </row>
    <row r="39" ht="28" customHeight="1">
      <c r="A39" t="inlineStr">
        <is>
          <t>INS-AUS-0040</t>
        </is>
      </c>
      <c r="C39" t="inlineStr">
        <is>
          <t>Torrens University Australia</t>
        </is>
      </c>
      <c r="D39" t="inlineStr">
        <is>
          <t>Torrens University Australia</t>
        </is>
      </c>
      <c r="E39" t="inlineStr">
        <is>
          <t>Australia</t>
        </is>
      </c>
      <c r="F39" t="inlineStr">
        <is>
          <t>AUS</t>
        </is>
      </c>
      <c r="G39" t="inlineStr">
        <is>
          <t>Sydney</t>
        </is>
      </c>
      <c r="H39" t="inlineStr">
        <is>
          <t>University</t>
        </is>
      </c>
      <c r="I39" t="inlineStr">
        <is>
          <t>Private</t>
        </is>
      </c>
      <c r="J39" t="inlineStr">
        <is>
          <t>Active</t>
        </is>
      </c>
      <c r="K39" t="inlineStr">
        <is>
          <t>https://www.torrens.edu.au/</t>
        </is>
      </c>
      <c r="L39" t="inlineStr">
        <is>
          <t>https://www.teqsa.gov.au/national-register | https://universitiesaustralia.edu.au/our-universities/university-profiles/</t>
        </is>
      </c>
      <c r="M39" t="inlineStr">
        <is>
          <t>city_au_sydney</t>
        </is>
      </c>
      <c r="N39" t="inlineStr">
        <is>
          <t>AU-NSW</t>
        </is>
      </c>
      <c r="O39" t="inlineStr">
        <is>
          <t>SOURCE_MATCHED</t>
        </is>
      </c>
    </row>
    <row r="40" ht="28" customHeight="1">
      <c r="A40" t="inlineStr">
        <is>
          <t>INS-AUS-0041</t>
        </is>
      </c>
      <c r="C40" t="inlineStr">
        <is>
          <t>University of Divinity</t>
        </is>
      </c>
      <c r="D40" t="inlineStr">
        <is>
          <t>University of Divinity</t>
        </is>
      </c>
      <c r="E40" t="inlineStr">
        <is>
          <t>Australia</t>
        </is>
      </c>
      <c r="F40" t="inlineStr">
        <is>
          <t>AUS</t>
        </is>
      </c>
      <c r="G40" t="inlineStr">
        <is>
          <t>Melbourne</t>
        </is>
      </c>
      <c r="H40" t="inlineStr">
        <is>
          <t>Theological University</t>
        </is>
      </c>
      <c r="I40" t="inlineStr">
        <is>
          <t>Private</t>
        </is>
      </c>
      <c r="J40" t="inlineStr">
        <is>
          <t>Active</t>
        </is>
      </c>
      <c r="K40" t="inlineStr">
        <is>
          <t>https://divinity.edu.au/</t>
        </is>
      </c>
      <c r="L40" t="inlineStr">
        <is>
          <t>https://www.teqsa.gov.au/national-register | https://universitiesaustralia.edu.au/our-universities/university-profiles/</t>
        </is>
      </c>
      <c r="M40" t="inlineStr">
        <is>
          <t>city_au_melbourne</t>
        </is>
      </c>
      <c r="N40" t="inlineStr">
        <is>
          <t>AU-VIC</t>
        </is>
      </c>
      <c r="O40" t="inlineStr">
        <is>
          <t>SOURCE_MATCHED</t>
        </is>
      </c>
    </row>
    <row r="41" ht="28" customHeight="1">
      <c r="A41" t="inlineStr">
        <is>
          <t>INS-AUS-0042</t>
        </is>
      </c>
      <c r="C41" t="inlineStr">
        <is>
          <t>Australian University of Theology</t>
        </is>
      </c>
      <c r="D41" t="inlineStr">
        <is>
          <t>Australian University of Theology</t>
        </is>
      </c>
      <c r="E41" t="inlineStr">
        <is>
          <t>Australia</t>
        </is>
      </c>
      <c r="F41" t="inlineStr">
        <is>
          <t>AUS</t>
        </is>
      </c>
      <c r="G41" t="inlineStr">
        <is>
          <t>Sydney</t>
        </is>
      </c>
      <c r="H41" t="inlineStr">
        <is>
          <t>Theological University</t>
        </is>
      </c>
      <c r="I41" t="inlineStr">
        <is>
          <t>Private</t>
        </is>
      </c>
      <c r="J41" t="inlineStr">
        <is>
          <t>Active</t>
        </is>
      </c>
      <c r="K41" t="inlineStr">
        <is>
          <t>https://aut.edu.au/</t>
        </is>
      </c>
      <c r="L41" t="inlineStr">
        <is>
          <t>https://www.teqsa.gov.au/national-register | https://universitiesaustralia.edu.au/our-universities/university-profiles/</t>
        </is>
      </c>
      <c r="M41" t="inlineStr">
        <is>
          <t>city_au_sydney</t>
        </is>
      </c>
      <c r="N41" t="inlineStr">
        <is>
          <t>AU-NSW</t>
        </is>
      </c>
      <c r="O41" t="inlineStr">
        <is>
          <t>SOURCE_MATCHED</t>
        </is>
      </c>
    </row>
    <row r="42" ht="28" customHeight="1">
      <c r="A42" t="inlineStr">
        <is>
          <t>INS-NZL-0001</t>
        </is>
      </c>
      <c r="C42" t="inlineStr">
        <is>
          <t>University of Auckland</t>
        </is>
      </c>
      <c r="D42" t="inlineStr">
        <is>
          <t>University of Auckland</t>
        </is>
      </c>
      <c r="E42" t="inlineStr">
        <is>
          <t>New Zealand</t>
        </is>
      </c>
      <c r="F42" t="inlineStr">
        <is>
          <t>NZL</t>
        </is>
      </c>
      <c r="G42" t="inlineStr">
        <is>
          <t>Auckland</t>
        </is>
      </c>
      <c r="H42" t="inlineStr">
        <is>
          <t>University</t>
        </is>
      </c>
      <c r="I42" t="inlineStr">
        <is>
          <t>Public</t>
        </is>
      </c>
      <c r="J42" t="inlineStr">
        <is>
          <t>Active</t>
        </is>
      </c>
      <c r="K42" t="inlineStr">
        <is>
          <t>https://www.auckland.ac.nz/</t>
        </is>
      </c>
      <c r="L42" t="inlineStr">
        <is>
          <t>https://www.universitiesnz.ac.nz/universities</t>
        </is>
      </c>
      <c r="M42" t="inlineStr">
        <is>
          <t>city_nz_auckland</t>
        </is>
      </c>
      <c r="N42" t="inlineStr">
        <is>
          <t>NZ-AUK</t>
        </is>
      </c>
      <c r="O42" t="inlineStr">
        <is>
          <t>SOURCE_MATCHED</t>
        </is>
      </c>
    </row>
    <row r="43" ht="28" customHeight="1">
      <c r="A43" t="inlineStr">
        <is>
          <t>INS-NZL-0002</t>
        </is>
      </c>
      <c r="C43" t="inlineStr">
        <is>
          <t>Auckland University of Technology</t>
        </is>
      </c>
      <c r="D43" t="inlineStr">
        <is>
          <t>Auckland University of Technology</t>
        </is>
      </c>
      <c r="E43" t="inlineStr">
        <is>
          <t>New Zealand</t>
        </is>
      </c>
      <c r="F43" t="inlineStr">
        <is>
          <t>NZL</t>
        </is>
      </c>
      <c r="G43" t="inlineStr">
        <is>
          <t>Auckland</t>
        </is>
      </c>
      <c r="H43" t="inlineStr">
        <is>
          <t>Technical University</t>
        </is>
      </c>
      <c r="I43" t="inlineStr">
        <is>
          <t>Public</t>
        </is>
      </c>
      <c r="J43" t="inlineStr">
        <is>
          <t>Active</t>
        </is>
      </c>
      <c r="K43" t="inlineStr">
        <is>
          <t>https://www.aut.ac.nz/</t>
        </is>
      </c>
      <c r="L43" t="inlineStr">
        <is>
          <t>https://www.universitiesnz.ac.nz/universities</t>
        </is>
      </c>
      <c r="M43" t="inlineStr">
        <is>
          <t>city_nz_auckland</t>
        </is>
      </c>
      <c r="N43" t="inlineStr">
        <is>
          <t>NZ-AUK</t>
        </is>
      </c>
      <c r="O43" t="inlineStr">
        <is>
          <t>SOURCE_MATCHED</t>
        </is>
      </c>
    </row>
    <row r="44" ht="28" customHeight="1">
      <c r="A44" t="inlineStr">
        <is>
          <t>INS-NZL-0003</t>
        </is>
      </c>
      <c r="C44" t="inlineStr">
        <is>
          <t>University of Waikato</t>
        </is>
      </c>
      <c r="D44" t="inlineStr">
        <is>
          <t>University of Waikato</t>
        </is>
      </c>
      <c r="E44" t="inlineStr">
        <is>
          <t>New Zealand</t>
        </is>
      </c>
      <c r="F44" t="inlineStr">
        <is>
          <t>NZL</t>
        </is>
      </c>
      <c r="G44" t="inlineStr">
        <is>
          <t>Hamilton</t>
        </is>
      </c>
      <c r="H44" t="inlineStr">
        <is>
          <t>University</t>
        </is>
      </c>
      <c r="I44" t="inlineStr">
        <is>
          <t>Public</t>
        </is>
      </c>
      <c r="J44" t="inlineStr">
        <is>
          <t>Active</t>
        </is>
      </c>
      <c r="K44" t="inlineStr">
        <is>
          <t>https://www.waikato.ac.nz/</t>
        </is>
      </c>
      <c r="L44" t="inlineStr">
        <is>
          <t>https://www.universitiesnz.ac.nz/universities</t>
        </is>
      </c>
      <c r="M44" t="inlineStr">
        <is>
          <t>city_nz_hamilton</t>
        </is>
      </c>
      <c r="N44" t="inlineStr">
        <is>
          <t>NZ-WKO</t>
        </is>
      </c>
      <c r="O44" t="inlineStr">
        <is>
          <t>SOURCE_MATCHED</t>
        </is>
      </c>
    </row>
    <row r="45" ht="28" customHeight="1">
      <c r="A45" t="inlineStr">
        <is>
          <t>INS-NZL-0004</t>
        </is>
      </c>
      <c r="C45" t="inlineStr">
        <is>
          <t>Massey University</t>
        </is>
      </c>
      <c r="D45" t="inlineStr">
        <is>
          <t>Massey University</t>
        </is>
      </c>
      <c r="E45" t="inlineStr">
        <is>
          <t>New Zealand</t>
        </is>
      </c>
      <c r="F45" t="inlineStr">
        <is>
          <t>NZL</t>
        </is>
      </c>
      <c r="G45" t="inlineStr">
        <is>
          <t>Palmerston North</t>
        </is>
      </c>
      <c r="H45" t="inlineStr">
        <is>
          <t>University</t>
        </is>
      </c>
      <c r="I45" t="inlineStr">
        <is>
          <t>Public</t>
        </is>
      </c>
      <c r="J45" t="inlineStr">
        <is>
          <t>Active</t>
        </is>
      </c>
      <c r="K45" t="inlineStr">
        <is>
          <t>https://www.massey.ac.nz/</t>
        </is>
      </c>
      <c r="L45" t="inlineStr">
        <is>
          <t>https://www.universitiesnz.ac.nz/universities</t>
        </is>
      </c>
      <c r="M45" t="inlineStr">
        <is>
          <t>city_nz_palmerston_north</t>
        </is>
      </c>
      <c r="N45" t="inlineStr">
        <is>
          <t>NZ-MWT</t>
        </is>
      </c>
      <c r="O45" t="inlineStr">
        <is>
          <t>SOURCE_MATCHED</t>
        </is>
      </c>
    </row>
    <row r="46" ht="28" customHeight="1">
      <c r="A46" t="inlineStr">
        <is>
          <t>INS-NZL-0005</t>
        </is>
      </c>
      <c r="C46" t="inlineStr">
        <is>
          <t>Victoria University of Wellington</t>
        </is>
      </c>
      <c r="D46" t="inlineStr">
        <is>
          <t>Victoria University of Wellington</t>
        </is>
      </c>
      <c r="E46" t="inlineStr">
        <is>
          <t>New Zealand</t>
        </is>
      </c>
      <c r="F46" t="inlineStr">
        <is>
          <t>NZL</t>
        </is>
      </c>
      <c r="G46" t="inlineStr">
        <is>
          <t>Wellington</t>
        </is>
      </c>
      <c r="H46" t="inlineStr">
        <is>
          <t>University</t>
        </is>
      </c>
      <c r="I46" t="inlineStr">
        <is>
          <t>Public</t>
        </is>
      </c>
      <c r="J46" t="inlineStr">
        <is>
          <t>Active</t>
        </is>
      </c>
      <c r="K46" t="inlineStr">
        <is>
          <t>https://www.wgtn.ac.nz/</t>
        </is>
      </c>
      <c r="L46" t="inlineStr">
        <is>
          <t>https://www.universitiesnz.ac.nz/universities</t>
        </is>
      </c>
      <c r="M46" t="inlineStr">
        <is>
          <t>city_nz_wellington</t>
        </is>
      </c>
      <c r="N46" t="inlineStr">
        <is>
          <t>NZ-WGN</t>
        </is>
      </c>
      <c r="O46" t="inlineStr">
        <is>
          <t>SOURCE_MATCHED</t>
        </is>
      </c>
    </row>
    <row r="47" ht="28" customHeight="1">
      <c r="A47" t="inlineStr">
        <is>
          <t>INS-NZL-0006</t>
        </is>
      </c>
      <c r="C47" t="inlineStr">
        <is>
          <t>University of Canterbury</t>
        </is>
      </c>
      <c r="D47" t="inlineStr">
        <is>
          <t>University of Canterbury</t>
        </is>
      </c>
      <c r="E47" t="inlineStr">
        <is>
          <t>New Zealand</t>
        </is>
      </c>
      <c r="F47" t="inlineStr">
        <is>
          <t>NZL</t>
        </is>
      </c>
      <c r="G47" t="inlineStr">
        <is>
          <t>Christchurch</t>
        </is>
      </c>
      <c r="H47" t="inlineStr">
        <is>
          <t>University</t>
        </is>
      </c>
      <c r="I47" t="inlineStr">
        <is>
          <t>Public</t>
        </is>
      </c>
      <c r="J47" t="inlineStr">
        <is>
          <t>Active</t>
        </is>
      </c>
      <c r="K47" t="inlineStr">
        <is>
          <t>https://www.canterbury.ac.nz/</t>
        </is>
      </c>
      <c r="L47" t="inlineStr">
        <is>
          <t>https://www.universitiesnz.ac.nz/universities</t>
        </is>
      </c>
      <c r="M47" t="inlineStr">
        <is>
          <t>city_nz_christchurch</t>
        </is>
      </c>
      <c r="N47" t="inlineStr">
        <is>
          <t>NZ-CAN</t>
        </is>
      </c>
      <c r="O47" t="inlineStr">
        <is>
          <t>SOURCE_MATCHED</t>
        </is>
      </c>
    </row>
    <row r="48" ht="28" customHeight="1">
      <c r="A48" t="inlineStr">
        <is>
          <t>INS-NZL-0007</t>
        </is>
      </c>
      <c r="C48" t="inlineStr">
        <is>
          <t>Lincoln University</t>
        </is>
      </c>
      <c r="D48" t="inlineStr">
        <is>
          <t>Lincoln University</t>
        </is>
      </c>
      <c r="E48" t="inlineStr">
        <is>
          <t>New Zealand</t>
        </is>
      </c>
      <c r="F48" t="inlineStr">
        <is>
          <t>NZL</t>
        </is>
      </c>
      <c r="G48" t="inlineStr">
        <is>
          <t>Lincoln</t>
        </is>
      </c>
      <c r="H48" t="inlineStr">
        <is>
          <t>Agricultural University</t>
        </is>
      </c>
      <c r="I48" t="inlineStr">
        <is>
          <t>Public</t>
        </is>
      </c>
      <c r="J48" t="inlineStr">
        <is>
          <t>Active</t>
        </is>
      </c>
      <c r="K48" t="inlineStr">
        <is>
          <t>https://www.lincoln.ac.nz/</t>
        </is>
      </c>
      <c r="L48" t="inlineStr">
        <is>
          <t>https://www.universitiesnz.ac.nz/universities</t>
        </is>
      </c>
      <c r="M48" t="inlineStr">
        <is>
          <t>city_nz_geonames_2188371</t>
        </is>
      </c>
      <c r="N48" t="inlineStr">
        <is>
          <t>NZ-CAN</t>
        </is>
      </c>
      <c r="O48" t="inlineStr">
        <is>
          <t>SOURCE_MATCHED</t>
        </is>
      </c>
    </row>
    <row r="49" ht="28" customHeight="1">
      <c r="A49" t="inlineStr">
        <is>
          <t>INS-NZL-0008</t>
        </is>
      </c>
      <c r="C49" t="inlineStr">
        <is>
          <t>University of Otago</t>
        </is>
      </c>
      <c r="D49" t="inlineStr">
        <is>
          <t>University of Otago</t>
        </is>
      </c>
      <c r="E49" t="inlineStr">
        <is>
          <t>New Zealand</t>
        </is>
      </c>
      <c r="F49" t="inlineStr">
        <is>
          <t>NZL</t>
        </is>
      </c>
      <c r="G49" t="inlineStr">
        <is>
          <t>Dunedin</t>
        </is>
      </c>
      <c r="H49" t="inlineStr">
        <is>
          <t>University</t>
        </is>
      </c>
      <c r="I49" t="inlineStr">
        <is>
          <t>Public</t>
        </is>
      </c>
      <c r="J49" t="inlineStr">
        <is>
          <t>Active</t>
        </is>
      </c>
      <c r="K49" t="inlineStr">
        <is>
          <t>https://www.otago.ac.nz/</t>
        </is>
      </c>
      <c r="L49" t="inlineStr">
        <is>
          <t>https://www.universitiesnz.ac.nz/universities</t>
        </is>
      </c>
      <c r="M49" t="inlineStr">
        <is>
          <t>city_nz_dunedin</t>
        </is>
      </c>
      <c r="N49" t="inlineStr">
        <is>
          <t>NZ-OTA</t>
        </is>
      </c>
      <c r="O49" t="inlineStr">
        <is>
          <t>SOURCE_MATCHED</t>
        </is>
      </c>
    </row>
    <row r="50" ht="28" customHeight="1">
      <c r="A50" t="inlineStr">
        <is>
          <t>INS-PNG-0001</t>
        </is>
      </c>
      <c r="C50" t="inlineStr">
        <is>
          <t>University of Papua New Guinea</t>
        </is>
      </c>
      <c r="D50" t="inlineStr">
        <is>
          <t>University of Papua New Guinea</t>
        </is>
      </c>
      <c r="E50" t="inlineStr">
        <is>
          <t>Papua New Guinea</t>
        </is>
      </c>
      <c r="F50" t="inlineStr">
        <is>
          <t>PNG</t>
        </is>
      </c>
      <c r="G50" t="inlineStr">
        <is>
          <t>Port Moresby</t>
        </is>
      </c>
      <c r="H50" t="inlineStr">
        <is>
          <t>University</t>
        </is>
      </c>
      <c r="I50" t="inlineStr">
        <is>
          <t>Public</t>
        </is>
      </c>
      <c r="J50" t="inlineStr">
        <is>
          <t>Active</t>
        </is>
      </c>
      <c r="K50" t="inlineStr">
        <is>
          <t>https://www.upng.ac.pg/</t>
        </is>
      </c>
      <c r="L50" t="inlineStr">
        <is>
          <t>https://apply.dherst.gov.pg/ | https://web.dherst.gov.pg/</t>
        </is>
      </c>
      <c r="M50" t="inlineStr">
        <is>
          <t>city_pg_port_moresby</t>
        </is>
      </c>
      <c r="N50" t="inlineStr">
        <is>
          <t>PG-NCD</t>
        </is>
      </c>
      <c r="O50" t="inlineStr">
        <is>
          <t>SOURCE_MATCHED</t>
        </is>
      </c>
    </row>
    <row r="51" ht="28" customHeight="1">
      <c r="A51" t="inlineStr">
        <is>
          <t>INS-PNG-0002</t>
        </is>
      </c>
      <c r="C51" t="inlineStr">
        <is>
          <t>Papua New Guinea University of Technology</t>
        </is>
      </c>
      <c r="D51" t="inlineStr">
        <is>
          <t>Papua New Guinea University of Technology</t>
        </is>
      </c>
      <c r="E51" t="inlineStr">
        <is>
          <t>Papua New Guinea</t>
        </is>
      </c>
      <c r="F51" t="inlineStr">
        <is>
          <t>PNG</t>
        </is>
      </c>
      <c r="G51" t="inlineStr">
        <is>
          <t>Lae</t>
        </is>
      </c>
      <c r="H51" t="inlineStr">
        <is>
          <t>Technical University</t>
        </is>
      </c>
      <c r="I51" t="inlineStr">
        <is>
          <t>Public</t>
        </is>
      </c>
      <c r="J51" t="inlineStr">
        <is>
          <t>Active</t>
        </is>
      </c>
      <c r="K51" t="inlineStr">
        <is>
          <t>https://www.unitech.ac.pg/</t>
        </is>
      </c>
      <c r="L51" t="inlineStr">
        <is>
          <t>https://apply.dherst.gov.pg/ | https://web.dherst.gov.pg/</t>
        </is>
      </c>
      <c r="M51" t="inlineStr">
        <is>
          <t>city_pg_lae</t>
        </is>
      </c>
      <c r="N51" t="inlineStr">
        <is>
          <t>PG-MPL</t>
        </is>
      </c>
      <c r="O51" t="inlineStr">
        <is>
          <t>SOURCE_MATCHED</t>
        </is>
      </c>
    </row>
    <row r="52" ht="28" customHeight="1">
      <c r="A52" t="inlineStr">
        <is>
          <t>INS-PNG-0003</t>
        </is>
      </c>
      <c r="C52" t="inlineStr">
        <is>
          <t>University of Goroka</t>
        </is>
      </c>
      <c r="D52" t="inlineStr">
        <is>
          <t>University of Goroka</t>
        </is>
      </c>
      <c r="E52" t="inlineStr">
        <is>
          <t>Papua New Guinea</t>
        </is>
      </c>
      <c r="F52" t="inlineStr">
        <is>
          <t>PNG</t>
        </is>
      </c>
      <c r="G52" t="inlineStr">
        <is>
          <t>Goroka</t>
        </is>
      </c>
      <c r="H52" t="inlineStr">
        <is>
          <t>University</t>
        </is>
      </c>
      <c r="I52" t="inlineStr">
        <is>
          <t>Public</t>
        </is>
      </c>
      <c r="J52" t="inlineStr">
        <is>
          <t>Active</t>
        </is>
      </c>
      <c r="K52" t="inlineStr">
        <is>
          <t>https://www.unigoroka.ac.pg/</t>
        </is>
      </c>
      <c r="L52" t="inlineStr">
        <is>
          <t>https://apply.dherst.gov.pg/ | https://web.dherst.gov.pg/</t>
        </is>
      </c>
      <c r="M52" t="inlineStr">
        <is>
          <t>city_pg_goroka</t>
        </is>
      </c>
      <c r="N52" t="inlineStr">
        <is>
          <t>PG-EHG</t>
        </is>
      </c>
      <c r="O52" t="inlineStr">
        <is>
          <t>SOURCE_MATCHED</t>
        </is>
      </c>
    </row>
    <row r="53" ht="28" customHeight="1">
      <c r="A53" t="inlineStr">
        <is>
          <t>INS-PNG-0005</t>
        </is>
      </c>
      <c r="C53" t="inlineStr">
        <is>
          <t>Divine Word University</t>
        </is>
      </c>
      <c r="D53" t="inlineStr">
        <is>
          <t>Divine Word University</t>
        </is>
      </c>
      <c r="E53" t="inlineStr">
        <is>
          <t>Papua New Guinea</t>
        </is>
      </c>
      <c r="F53" t="inlineStr">
        <is>
          <t>PNG</t>
        </is>
      </c>
      <c r="G53" t="inlineStr">
        <is>
          <t>Madang</t>
        </is>
      </c>
      <c r="H53" t="inlineStr">
        <is>
          <t>University</t>
        </is>
      </c>
      <c r="I53" t="inlineStr">
        <is>
          <t>Private</t>
        </is>
      </c>
      <c r="J53" t="inlineStr">
        <is>
          <t>Active</t>
        </is>
      </c>
      <c r="K53" t="inlineStr">
        <is>
          <t>https://www.dwu.ac.pg/</t>
        </is>
      </c>
      <c r="L53" t="inlineStr">
        <is>
          <t>https://apply.dherst.gov.pg/ | https://web.dherst.gov.pg/</t>
        </is>
      </c>
      <c r="M53" t="inlineStr">
        <is>
          <t>city_pg_madang</t>
        </is>
      </c>
      <c r="N53" t="inlineStr">
        <is>
          <t>PG-MPM</t>
        </is>
      </c>
      <c r="O53" t="inlineStr">
        <is>
          <t>SOURCE_MATCHED</t>
        </is>
      </c>
    </row>
    <row r="54" ht="28" customHeight="1">
      <c r="A54" t="inlineStr">
        <is>
          <t>INS-PNG-0006</t>
        </is>
      </c>
      <c r="C54" t="inlineStr">
        <is>
          <t>Pacific Adventist University</t>
        </is>
      </c>
      <c r="D54" t="inlineStr">
        <is>
          <t>Pacific Adventist University</t>
        </is>
      </c>
      <c r="E54" t="inlineStr">
        <is>
          <t>Papua New Guinea</t>
        </is>
      </c>
      <c r="F54" t="inlineStr">
        <is>
          <t>PNG</t>
        </is>
      </c>
      <c r="G54" t="inlineStr">
        <is>
          <t>Port Moresby</t>
        </is>
      </c>
      <c r="H54" t="inlineStr">
        <is>
          <t>University</t>
        </is>
      </c>
      <c r="I54" t="inlineStr">
        <is>
          <t>Private</t>
        </is>
      </c>
      <c r="J54" t="inlineStr">
        <is>
          <t>Active</t>
        </is>
      </c>
      <c r="K54" t="inlineStr">
        <is>
          <t>https://www.pau.ac.pg/</t>
        </is>
      </c>
      <c r="L54" t="inlineStr">
        <is>
          <t>https://apply.dherst.gov.pg/ | https://web.dherst.gov.pg/</t>
        </is>
      </c>
      <c r="M54" t="inlineStr">
        <is>
          <t>city_pg_port_moresby</t>
        </is>
      </c>
      <c r="N54" t="inlineStr">
        <is>
          <t>PG-NCD</t>
        </is>
      </c>
      <c r="O54" t="inlineStr">
        <is>
          <t>SOURCE_MATCHED</t>
        </is>
      </c>
    </row>
    <row r="55" ht="28" customHeight="1">
      <c r="A55" t="inlineStr">
        <is>
          <t>INS-PNG-0007</t>
        </is>
      </c>
      <c r="C55" t="inlineStr">
        <is>
          <t>IBS University</t>
        </is>
      </c>
      <c r="D55" t="inlineStr">
        <is>
          <t>IBS University</t>
        </is>
      </c>
      <c r="E55" t="inlineStr">
        <is>
          <t>Papua New Guinea</t>
        </is>
      </c>
      <c r="F55" t="inlineStr">
        <is>
          <t>PNG</t>
        </is>
      </c>
      <c r="G55" t="inlineStr">
        <is>
          <t>Port Moresby</t>
        </is>
      </c>
      <c r="H55" t="inlineStr">
        <is>
          <t>University</t>
        </is>
      </c>
      <c r="I55" t="inlineStr">
        <is>
          <t>Private</t>
        </is>
      </c>
      <c r="J55" t="inlineStr">
        <is>
          <t>Active</t>
        </is>
      </c>
      <c r="K55" t="inlineStr">
        <is>
          <t>https://www.ibsu.ac.pg/</t>
        </is>
      </c>
      <c r="L55" t="inlineStr">
        <is>
          <t>https://apply.dherst.gov.pg/ | https://web.dherst.gov.pg/</t>
        </is>
      </c>
      <c r="M55" t="inlineStr">
        <is>
          <t>city_pg_port_moresby</t>
        </is>
      </c>
      <c r="N55" t="inlineStr">
        <is>
          <t>PG-NCD</t>
        </is>
      </c>
      <c r="O55" t="inlineStr">
        <is>
          <t>SOURCE_MATCHED</t>
        </is>
      </c>
    </row>
    <row r="56" ht="28" customHeight="1">
      <c r="A56" t="inlineStr">
        <is>
          <t>INS-PNG-0008</t>
        </is>
      </c>
      <c r="C56" t="inlineStr">
        <is>
          <t>Western Pacific University</t>
        </is>
      </c>
      <c r="D56" t="inlineStr">
        <is>
          <t>Western Pacific University</t>
        </is>
      </c>
      <c r="E56" t="inlineStr">
        <is>
          <t>Papua New Guinea</t>
        </is>
      </c>
      <c r="F56" t="inlineStr">
        <is>
          <t>PNG</t>
        </is>
      </c>
      <c r="G56" t="inlineStr">
        <is>
          <t>Ialibu</t>
        </is>
      </c>
      <c r="H56" t="inlineStr">
        <is>
          <t>Technical University</t>
        </is>
      </c>
      <c r="I56" t="inlineStr">
        <is>
          <t>Public</t>
        </is>
      </c>
      <c r="J56" t="inlineStr">
        <is>
          <t>Active</t>
        </is>
      </c>
      <c r="K56" t="inlineStr">
        <is>
          <t>https://wpu.ac.pg/</t>
        </is>
      </c>
      <c r="L56" t="inlineStr">
        <is>
          <t>https://apply.dherst.gov.pg/ | https://web.dherst.gov.pg/</t>
        </is>
      </c>
      <c r="M56" t="inlineStr">
        <is>
          <t>city_pg_geonames_2095925</t>
        </is>
      </c>
      <c r="N56" t="inlineStr">
        <is>
          <t>PG-SHM</t>
        </is>
      </c>
      <c r="O56" t="inlineStr">
        <is>
          <t>SOURCE_MATCHED</t>
        </is>
      </c>
    </row>
    <row r="57" ht="28" customHeight="1">
      <c r="A57" t="inlineStr">
        <is>
          <t>INS-PNG-0009</t>
        </is>
      </c>
      <c r="C57" t="inlineStr">
        <is>
          <t>Innovative University of Enga</t>
        </is>
      </c>
      <c r="D57" t="inlineStr">
        <is>
          <t>Innovative University of Enga</t>
        </is>
      </c>
      <c r="E57" t="inlineStr">
        <is>
          <t>Papua New Guinea</t>
        </is>
      </c>
      <c r="F57" t="inlineStr">
        <is>
          <t>PNG</t>
        </is>
      </c>
      <c r="G57" t="inlineStr">
        <is>
          <t>Wabag</t>
        </is>
      </c>
      <c r="H57" t="inlineStr">
        <is>
          <t>University</t>
        </is>
      </c>
      <c r="I57" t="inlineStr">
        <is>
          <t>Public</t>
        </is>
      </c>
      <c r="J57" t="inlineStr">
        <is>
          <t>Active</t>
        </is>
      </c>
      <c r="K57" t="inlineStr">
        <is>
          <t>https://www.iue.ac.pg/</t>
        </is>
      </c>
      <c r="L57" t="inlineStr">
        <is>
          <t>https://apply.dherst.gov.pg/ | https://web.dherst.gov.pg/</t>
        </is>
      </c>
      <c r="M57" t="inlineStr">
        <is>
          <t>city_pg_geonames_2084246</t>
        </is>
      </c>
      <c r="N57" t="inlineStr">
        <is>
          <t>PG-EPW</t>
        </is>
      </c>
      <c r="O57" t="inlineStr">
        <is>
          <t>SOURCE_MATCHED</t>
        </is>
      </c>
    </row>
    <row r="58" ht="28" customHeight="1">
      <c r="A58" t="inlineStr">
        <is>
          <t>INS-PNG-0010</t>
        </is>
      </c>
      <c r="C58" t="inlineStr">
        <is>
          <t>Lutheran University of Papua New Guinea</t>
        </is>
      </c>
      <c r="D58" t="inlineStr">
        <is>
          <t>Lutheran University of Papua New Guinea</t>
        </is>
      </c>
      <c r="E58" t="inlineStr">
        <is>
          <t>Papua New Guinea</t>
        </is>
      </c>
      <c r="F58" t="inlineStr">
        <is>
          <t>PNG</t>
        </is>
      </c>
      <c r="G58" t="inlineStr">
        <is>
          <t>Lae</t>
        </is>
      </c>
      <c r="H58" t="inlineStr">
        <is>
          <t>University</t>
        </is>
      </c>
      <c r="I58" t="inlineStr">
        <is>
          <t>Private</t>
        </is>
      </c>
      <c r="J58" t="inlineStr">
        <is>
          <t>Active</t>
        </is>
      </c>
      <c r="K58" t="inlineStr">
        <is>
          <t>https://www.lupng.ac.pg/</t>
        </is>
      </c>
      <c r="L58" t="inlineStr">
        <is>
          <t>https://apply.dherst.gov.pg/ | https://web.dherst.gov.pg/</t>
        </is>
      </c>
      <c r="M58" t="inlineStr">
        <is>
          <t>city_pg_lae</t>
        </is>
      </c>
      <c r="N58" t="inlineStr">
        <is>
          <t>PG-MPL</t>
        </is>
      </c>
      <c r="O58" t="inlineStr">
        <is>
          <t>SOURCE_MATCHED</t>
        </is>
      </c>
    </row>
    <row r="59" ht="28" customHeight="1">
      <c r="A59" t="inlineStr">
        <is>
          <t>INS-FJI-0001</t>
        </is>
      </c>
      <c r="C59" t="inlineStr">
        <is>
          <t>Fiji National University</t>
        </is>
      </c>
      <c r="D59" t="inlineStr">
        <is>
          <t>Fiji National University</t>
        </is>
      </c>
      <c r="E59" t="inlineStr">
        <is>
          <t>Fiji</t>
        </is>
      </c>
      <c r="F59" t="inlineStr">
        <is>
          <t>FJI</t>
        </is>
      </c>
      <c r="G59" t="inlineStr">
        <is>
          <t>Nasinu</t>
        </is>
      </c>
      <c r="H59" t="inlineStr">
        <is>
          <t>University</t>
        </is>
      </c>
      <c r="I59" t="inlineStr">
        <is>
          <t>Public</t>
        </is>
      </c>
      <c r="J59" t="inlineStr">
        <is>
          <t>Active</t>
        </is>
      </c>
      <c r="K59" t="inlineStr">
        <is>
          <t>https://www.fnu.ac.fj/</t>
        </is>
      </c>
      <c r="L59" t="inlineStr">
        <is>
          <t>https://hec.org.fj/registered-heis/ | https://www.usp.ac.fj/why-usp/</t>
        </is>
      </c>
      <c r="M59" t="inlineStr">
        <is>
          <t>city_fj_geonames_8740209</t>
        </is>
      </c>
      <c r="N59" t="inlineStr">
        <is>
          <t>FJ-C</t>
        </is>
      </c>
      <c r="O59" t="inlineStr">
        <is>
          <t>SOURCE_MATCHED</t>
        </is>
      </c>
    </row>
    <row r="60" ht="28" customHeight="1">
      <c r="A60" t="inlineStr">
        <is>
          <t>INS-FJI-0002</t>
        </is>
      </c>
      <c r="C60" t="inlineStr">
        <is>
          <t>The University of Fiji</t>
        </is>
      </c>
      <c r="D60" t="inlineStr">
        <is>
          <t>The University of Fiji</t>
        </is>
      </c>
      <c r="E60" t="inlineStr">
        <is>
          <t>Fiji</t>
        </is>
      </c>
      <c r="F60" t="inlineStr">
        <is>
          <t>FJI</t>
        </is>
      </c>
      <c r="G60" t="inlineStr">
        <is>
          <t>Lautoka</t>
        </is>
      </c>
      <c r="H60" t="inlineStr">
        <is>
          <t>University</t>
        </is>
      </c>
      <c r="I60" t="inlineStr">
        <is>
          <t>Private</t>
        </is>
      </c>
      <c r="J60" t="inlineStr">
        <is>
          <t>Active</t>
        </is>
      </c>
      <c r="K60" t="inlineStr">
        <is>
          <t>https://www.unifiji.ac.fj/</t>
        </is>
      </c>
      <c r="L60" t="inlineStr">
        <is>
          <t>https://hec.org.fj/registered-heis/ | https://www.usp.ac.fj/why-usp/</t>
        </is>
      </c>
      <c r="M60" t="inlineStr">
        <is>
          <t>city_fj_lautoka</t>
        </is>
      </c>
      <c r="N60" t="inlineStr">
        <is>
          <t>FJ-01</t>
        </is>
      </c>
      <c r="O60" t="inlineStr">
        <is>
          <t>SOURCE_MATCHED</t>
        </is>
      </c>
    </row>
    <row r="61" ht="28" customHeight="1">
      <c r="A61" t="inlineStr">
        <is>
          <t>INS-FJI-0003</t>
        </is>
      </c>
      <c r="C61" t="inlineStr">
        <is>
          <t>The University of the South Pacific</t>
        </is>
      </c>
      <c r="D61" t="inlineStr">
        <is>
          <t>The University of the South Pacific</t>
        </is>
      </c>
      <c r="E61" t="inlineStr">
        <is>
          <t>Fiji</t>
        </is>
      </c>
      <c r="F61" t="inlineStr">
        <is>
          <t>FJI</t>
        </is>
      </c>
      <c r="G61" t="inlineStr">
        <is>
          <t>Suva</t>
        </is>
      </c>
      <c r="H61" t="inlineStr">
        <is>
          <t>Regional University</t>
        </is>
      </c>
      <c r="I61" t="inlineStr">
        <is>
          <t>Regional</t>
        </is>
      </c>
      <c r="J61" t="inlineStr">
        <is>
          <t>Active</t>
        </is>
      </c>
      <c r="K61" t="inlineStr">
        <is>
          <t>https://www.usp.ac.fj/</t>
        </is>
      </c>
      <c r="L61" t="inlineStr">
        <is>
          <t>https://hec.org.fj/registered-heis/ | https://www.usp.ac.fj/why-usp/</t>
        </is>
      </c>
      <c r="M61" t="inlineStr">
        <is>
          <t>city_fj_suva</t>
        </is>
      </c>
      <c r="N61" t="inlineStr">
        <is>
          <t>FJ-12</t>
        </is>
      </c>
      <c r="O61" t="inlineStr">
        <is>
          <t>SOURCE_MATCHED</t>
        </is>
      </c>
    </row>
    <row r="62" ht="28" customHeight="1">
      <c r="A62" t="inlineStr">
        <is>
          <t>INS-FJI-0004</t>
        </is>
      </c>
      <c r="C62" t="inlineStr">
        <is>
          <t>Fulton Adventist University College</t>
        </is>
      </c>
      <c r="D62" t="inlineStr">
        <is>
          <t>Fulton Adventist University College</t>
        </is>
      </c>
      <c r="E62" t="inlineStr">
        <is>
          <t>Fiji</t>
        </is>
      </c>
      <c r="F62" t="inlineStr">
        <is>
          <t>FJI</t>
        </is>
      </c>
      <c r="G62" t="inlineStr">
        <is>
          <t>Nadi</t>
        </is>
      </c>
      <c r="H62" t="inlineStr">
        <is>
          <t>University College</t>
        </is>
      </c>
      <c r="I62" t="inlineStr">
        <is>
          <t>Private</t>
        </is>
      </c>
      <c r="J62" t="inlineStr">
        <is>
          <t>Active</t>
        </is>
      </c>
      <c r="K62" t="inlineStr">
        <is>
          <t>https://www.fulton.ac.fj/</t>
        </is>
      </c>
      <c r="L62" t="inlineStr">
        <is>
          <t>https://hec.org.fj/registered-heis/ | https://www.usp.ac.fj/why-usp/</t>
        </is>
      </c>
      <c r="M62" t="inlineStr">
        <is>
          <t>city_fj_nadi</t>
        </is>
      </c>
      <c r="N62" t="inlineStr">
        <is>
          <t>FJ-01</t>
        </is>
      </c>
      <c r="O62" t="inlineStr">
        <is>
          <t>SOURCE_MATCHED</t>
        </is>
      </c>
    </row>
    <row r="63" ht="28" customHeight="1">
      <c r="A63" t="inlineStr">
        <is>
          <t>INS-SLB-0001</t>
        </is>
      </c>
      <c r="C63" t="inlineStr">
        <is>
          <t>Solomon Islands National University</t>
        </is>
      </c>
      <c r="D63" t="inlineStr">
        <is>
          <t>Solomon Islands National University</t>
        </is>
      </c>
      <c r="E63" t="inlineStr">
        <is>
          <t>Solomon Islands</t>
        </is>
      </c>
      <c r="F63" t="inlineStr">
        <is>
          <t>SLB</t>
        </is>
      </c>
      <c r="G63" t="inlineStr">
        <is>
          <t>Honiara</t>
        </is>
      </c>
      <c r="H63" t="inlineStr">
        <is>
          <t>University</t>
        </is>
      </c>
      <c r="I63" t="inlineStr">
        <is>
          <t>Public</t>
        </is>
      </c>
      <c r="J63" t="inlineStr">
        <is>
          <t>Active</t>
        </is>
      </c>
      <c r="K63" t="inlineStr">
        <is>
          <t>https://www.sinu.edu.sb/</t>
        </is>
      </c>
      <c r="L63" t="inlineStr">
        <is>
          <t>https://www.sinu.edu.sb/</t>
        </is>
      </c>
      <c r="M63" t="inlineStr">
        <is>
          <t>city_sb_honiara</t>
        </is>
      </c>
      <c r="N63" t="inlineStr">
        <is>
          <t>SB-CT</t>
        </is>
      </c>
      <c r="O63" t="inlineStr">
        <is>
          <t>SOURCE_MATCHED</t>
        </is>
      </c>
    </row>
    <row r="64" ht="28" customHeight="1">
      <c r="A64" t="inlineStr">
        <is>
          <t>INS-VUT-0001</t>
        </is>
      </c>
      <c r="C64" t="inlineStr">
        <is>
          <t>National University of Vanuatu</t>
        </is>
      </c>
      <c r="D64" t="inlineStr">
        <is>
          <t>National University of Vanuatu</t>
        </is>
      </c>
      <c r="E64" t="inlineStr">
        <is>
          <t>Vanuatu</t>
        </is>
      </c>
      <c r="F64" t="inlineStr">
        <is>
          <t>VUT</t>
        </is>
      </c>
      <c r="G64" t="inlineStr">
        <is>
          <t>Port-Vila</t>
        </is>
      </c>
      <c r="H64" t="inlineStr">
        <is>
          <t>University</t>
        </is>
      </c>
      <c r="I64" t="inlineStr">
        <is>
          <t>Public</t>
        </is>
      </c>
      <c r="J64" t="inlineStr">
        <is>
          <t>Active</t>
        </is>
      </c>
      <c r="K64" t="inlineStr">
        <is>
          <t>https://www.univ.edu.vu/</t>
        </is>
      </c>
      <c r="L64" t="inlineStr">
        <is>
          <t>https://www.univ.edu.vu/</t>
        </is>
      </c>
      <c r="M64" t="inlineStr">
        <is>
          <t>city_vu_port_vila</t>
        </is>
      </c>
      <c r="N64" t="inlineStr">
        <is>
          <t>VU-SEE</t>
        </is>
      </c>
      <c r="O64" t="inlineStr">
        <is>
          <t>SOURCE_MATCHED</t>
        </is>
      </c>
    </row>
    <row r="65" ht="28" customHeight="1">
      <c r="A65" t="inlineStr">
        <is>
          <t>INS-WSM-0001</t>
        </is>
      </c>
      <c r="C65" t="inlineStr">
        <is>
          <t>National University of Samoa</t>
        </is>
      </c>
      <c r="D65" t="inlineStr">
        <is>
          <t>National University of Samoa</t>
        </is>
      </c>
      <c r="E65" t="inlineStr">
        <is>
          <t>Samoa</t>
        </is>
      </c>
      <c r="F65" t="inlineStr">
        <is>
          <t>WSM</t>
        </is>
      </c>
      <c r="G65" t="inlineStr">
        <is>
          <t>Apia</t>
        </is>
      </c>
      <c r="H65" t="inlineStr">
        <is>
          <t>University</t>
        </is>
      </c>
      <c r="I65" t="inlineStr">
        <is>
          <t>Public</t>
        </is>
      </c>
      <c r="J65" t="inlineStr">
        <is>
          <t>Active</t>
        </is>
      </c>
      <c r="K65" t="inlineStr">
        <is>
          <t>https://nus.edu.ws/</t>
        </is>
      </c>
      <c r="L65" t="inlineStr">
        <is>
          <t>https://nus.edu.ws/ | https://oum.edu.ws/about-oum/accreditation/</t>
        </is>
      </c>
      <c r="M65" t="inlineStr">
        <is>
          <t>city_ws_apia</t>
        </is>
      </c>
      <c r="N65" t="inlineStr">
        <is>
          <t>WS-TU</t>
        </is>
      </c>
      <c r="O65" t="inlineStr">
        <is>
          <t>SOURCE_MATCHED</t>
        </is>
      </c>
    </row>
    <row r="66" ht="28" customHeight="1">
      <c r="A66" t="inlineStr">
        <is>
          <t>INS-WSM-0002</t>
        </is>
      </c>
      <c r="C66" t="inlineStr">
        <is>
          <t>Oceania University of Medicine</t>
        </is>
      </c>
      <c r="D66" t="inlineStr">
        <is>
          <t>Oceania University of Medicine</t>
        </is>
      </c>
      <c r="E66" t="inlineStr">
        <is>
          <t>Samoa</t>
        </is>
      </c>
      <c r="F66" t="inlineStr">
        <is>
          <t>WSM</t>
        </is>
      </c>
      <c r="G66" t="inlineStr">
        <is>
          <t>Apia</t>
        </is>
      </c>
      <c r="H66" t="inlineStr">
        <is>
          <t>Medical University</t>
        </is>
      </c>
      <c r="I66" t="inlineStr">
        <is>
          <t>Private</t>
        </is>
      </c>
      <c r="J66" t="inlineStr">
        <is>
          <t>Active</t>
        </is>
      </c>
      <c r="K66" t="inlineStr">
        <is>
          <t>https://oum.edu.ws/</t>
        </is>
      </c>
      <c r="L66" t="inlineStr">
        <is>
          <t>https://nus.edu.ws/ | https://oum.edu.ws/about-oum/accreditation/</t>
        </is>
      </c>
      <c r="M66" t="inlineStr">
        <is>
          <t>city_ws_apia</t>
        </is>
      </c>
      <c r="N66" t="inlineStr">
        <is>
          <t>WS-TU</t>
        </is>
      </c>
      <c r="O66" t="inlineStr">
        <is>
          <t>SOURCE_MATCHED</t>
        </is>
      </c>
    </row>
    <row r="67" ht="28" customHeight="1">
      <c r="A67" t="inlineStr">
        <is>
          <t>INS-TON-0001</t>
        </is>
      </c>
      <c r="C67" t="inlineStr">
        <is>
          <t>Tonga National University</t>
        </is>
      </c>
      <c r="D67" t="inlineStr">
        <is>
          <t>Tonga National University</t>
        </is>
      </c>
      <c r="E67" t="inlineStr">
        <is>
          <t>Tonga</t>
        </is>
      </c>
      <c r="F67" t="inlineStr">
        <is>
          <t>TON</t>
        </is>
      </c>
      <c r="G67" t="inlineStr">
        <is>
          <t>Nuku`alofa</t>
        </is>
      </c>
      <c r="H67" t="inlineStr">
        <is>
          <t>University</t>
        </is>
      </c>
      <c r="I67" t="inlineStr">
        <is>
          <t>Public</t>
        </is>
      </c>
      <c r="J67" t="inlineStr">
        <is>
          <t>Active</t>
        </is>
      </c>
      <c r="K67" t="inlineStr">
        <is>
          <t>https://www.tnu.edu.to/</t>
        </is>
      </c>
      <c r="L67" t="inlineStr">
        <is>
          <t>https://www.tnu.edu.to/ | https://ago.gov.to/cms/images/LEGISLATION/PRINCIPAL/2021/2021-0202/TongaNationalUniversityAct2021_1.pdf</t>
        </is>
      </c>
      <c r="M67" t="inlineStr">
        <is>
          <t>city_to_nukualofa</t>
        </is>
      </c>
      <c r="N67" t="inlineStr">
        <is>
          <t>TO-04</t>
        </is>
      </c>
      <c r="O67" t="inlineStr">
        <is>
          <t>SOURCE_MATCHED</t>
        </is>
      </c>
    </row>
    <row r="68" ht="28" customHeight="1">
      <c r="A68" t="inlineStr">
        <is>
          <t>INS-AUS-0003</t>
        </is>
      </c>
      <c r="C68" t="inlineStr">
        <is>
          <t>Australian Catholic University</t>
        </is>
      </c>
      <c r="D68" t="inlineStr">
        <is>
          <t>Australian Catholic University</t>
        </is>
      </c>
      <c r="E68" t="inlineStr">
        <is>
          <t>Australia</t>
        </is>
      </c>
      <c r="F68" t="inlineStr">
        <is>
          <t>AUS</t>
        </is>
      </c>
      <c r="G68" t="inlineStr">
        <is>
          <t>North Sydney</t>
        </is>
      </c>
      <c r="H68" t="inlineStr">
        <is>
          <t>University</t>
        </is>
      </c>
      <c r="I68" t="inlineStr">
        <is>
          <t>Public</t>
        </is>
      </c>
      <c r="J68" t="inlineStr">
        <is>
          <t>Active</t>
        </is>
      </c>
      <c r="K68" t="inlineStr">
        <is>
          <t>https://www.acu.edu.au/</t>
        </is>
      </c>
      <c r="L68" t="inlineStr">
        <is>
          <t>https://www.teqsa.gov.au/national-register | https://universitiesaustralia.edu.au/our-universities/university-profiles/</t>
        </is>
      </c>
      <c r="M68" t="inlineStr">
        <is>
          <t>city_au_geonames_2154855</t>
        </is>
      </c>
      <c r="N68" t="inlineStr">
        <is>
          <t>AU-NSW</t>
        </is>
      </c>
      <c r="O68" t="inlineStr">
        <is>
          <t>SOURCE_MATCHED</t>
        </is>
      </c>
    </row>
    <row r="69" ht="28" customHeight="1">
      <c r="A69" t="inlineStr">
        <is>
          <t>INS-AUS-0004</t>
        </is>
      </c>
      <c r="C69" t="inlineStr">
        <is>
          <t>The University of Notre Dame Australia</t>
        </is>
      </c>
      <c r="D69" t="inlineStr">
        <is>
          <t>The University of Notre Dame Australia</t>
        </is>
      </c>
      <c r="E69" t="inlineStr">
        <is>
          <t>Australia</t>
        </is>
      </c>
      <c r="F69" t="inlineStr">
        <is>
          <t>AUS</t>
        </is>
      </c>
      <c r="G69" t="inlineStr">
        <is>
          <t>Fremantle</t>
        </is>
      </c>
      <c r="H69" t="inlineStr">
        <is>
          <t>University</t>
        </is>
      </c>
      <c r="I69" t="inlineStr">
        <is>
          <t>Private</t>
        </is>
      </c>
      <c r="J69" t="inlineStr">
        <is>
          <t>Active</t>
        </is>
      </c>
      <c r="K69" t="inlineStr">
        <is>
          <t>https://www.notredame.edu.au/</t>
        </is>
      </c>
      <c r="L69" t="inlineStr">
        <is>
          <t>https://www.teqsa.gov.au/national-register | https://universitiesaustralia.edu.au/our-universities/university-profiles/</t>
        </is>
      </c>
      <c r="M69" t="inlineStr">
        <is>
          <t>city_au_geonames_2071223</t>
        </is>
      </c>
      <c r="N69" t="inlineStr">
        <is>
          <t>AU-WA</t>
        </is>
      </c>
      <c r="O69" t="inlineStr">
        <is>
          <t>SOURCE_MATCHED</t>
        </is>
      </c>
    </row>
    <row r="70" ht="28" customHeight="1">
      <c r="A70" t="inlineStr">
        <is>
          <t>INS-AUS-0014</t>
        </is>
      </c>
      <c r="C70" t="inlineStr">
        <is>
          <t>Western Sydney University</t>
        </is>
      </c>
      <c r="D70" t="inlineStr">
        <is>
          <t>Western Sydney University</t>
        </is>
      </c>
      <c r="E70" t="inlineStr">
        <is>
          <t>Australia</t>
        </is>
      </c>
      <c r="F70" t="inlineStr">
        <is>
          <t>AUS</t>
        </is>
      </c>
      <c r="G70" t="inlineStr">
        <is>
          <t>Penrith</t>
        </is>
      </c>
      <c r="H70" t="inlineStr">
        <is>
          <t>University</t>
        </is>
      </c>
      <c r="I70" t="inlineStr">
        <is>
          <t>Public</t>
        </is>
      </c>
      <c r="J70" t="inlineStr">
        <is>
          <t>Active</t>
        </is>
      </c>
      <c r="K70" t="inlineStr">
        <is>
          <t>https://www.westernsydney.edu.au/</t>
        </is>
      </c>
      <c r="L70" t="inlineStr">
        <is>
          <t>https://www.teqsa.gov.au/national-register | https://universitiesaustralia.edu.au/our-universities/university-profiles/</t>
        </is>
      </c>
      <c r="M70" t="inlineStr">
        <is>
          <t>city_au_geonames_2153471</t>
        </is>
      </c>
      <c r="N70" t="inlineStr">
        <is>
          <t>AU-NSW</t>
        </is>
      </c>
      <c r="O70" t="inlineStr">
        <is>
          <t>SOURCE_MATCHED</t>
        </is>
      </c>
    </row>
    <row r="71" ht="28" customHeight="1">
      <c r="A71" t="inlineStr">
        <is>
          <t>INS-AUS-0039</t>
        </is>
      </c>
      <c r="C71" t="inlineStr">
        <is>
          <t>Avondale University</t>
        </is>
      </c>
      <c r="D71" t="inlineStr">
        <is>
          <t>Avondale University</t>
        </is>
      </c>
      <c r="E71" t="inlineStr">
        <is>
          <t>Australia</t>
        </is>
      </c>
      <c r="F71" t="inlineStr">
        <is>
          <t>AUS</t>
        </is>
      </c>
      <c r="G71" t="inlineStr">
        <is>
          <t>Cooranbong</t>
        </is>
      </c>
      <c r="H71" t="inlineStr">
        <is>
          <t>University</t>
        </is>
      </c>
      <c r="I71" t="inlineStr">
        <is>
          <t>Private</t>
        </is>
      </c>
      <c r="J71" t="inlineStr">
        <is>
          <t>Active</t>
        </is>
      </c>
      <c r="K71" t="inlineStr">
        <is>
          <t>https://www.avondale.edu.au/</t>
        </is>
      </c>
      <c r="L71" t="inlineStr">
        <is>
          <t>https://www.teqsa.gov.au/national-register | https://universitiesaustralia.edu.au/our-universities/university-profiles/</t>
        </is>
      </c>
      <c r="M71" t="inlineStr">
        <is>
          <t>city_au_geonames_2170456</t>
        </is>
      </c>
      <c r="N71" t="inlineStr">
        <is>
          <t>AU-NSW</t>
        </is>
      </c>
      <c r="O71" t="inlineStr">
        <is>
          <t>SOURCE_MATCHED</t>
        </is>
      </c>
    </row>
    <row r="72" ht="28" customHeight="1">
      <c r="A72" t="inlineStr">
        <is>
          <t>INS-AUS-0023</t>
        </is>
      </c>
      <c r="C72" t="inlineStr">
        <is>
          <t>University of the Sunshine Coast</t>
        </is>
      </c>
      <c r="D72" t="inlineStr">
        <is>
          <t>University of the Sunshine Coast</t>
        </is>
      </c>
      <c r="E72" t="inlineStr">
        <is>
          <t>Australia</t>
        </is>
      </c>
      <c r="F72" t="inlineStr">
        <is>
          <t>AUS</t>
        </is>
      </c>
      <c r="G72" t="inlineStr">
        <is>
          <t>Sippy Downs</t>
        </is>
      </c>
      <c r="H72" t="inlineStr">
        <is>
          <t>University</t>
        </is>
      </c>
      <c r="I72" t="inlineStr">
        <is>
          <t>Public</t>
        </is>
      </c>
      <c r="J72" t="inlineStr">
        <is>
          <t>Active</t>
        </is>
      </c>
      <c r="K72" t="inlineStr">
        <is>
          <t>https://www.usc.edu.au/</t>
        </is>
      </c>
      <c r="L72" t="inlineStr">
        <is>
          <t>https://www.teqsa.gov.au/national-register | https://universitiesaustralia.edu.au/our-universities/university-profiles/</t>
        </is>
      </c>
      <c r="M72" t="inlineStr">
        <is>
          <t>city_au_official_sippy_downs</t>
        </is>
      </c>
      <c r="N72" t="inlineStr">
        <is>
          <t>AU-QLD</t>
        </is>
      </c>
      <c r="O72" t="inlineStr">
        <is>
          <t>SOURCE_MATCHED</t>
        </is>
      </c>
      <c r="P72" t="inlineStr">
        <is>
          <t>PRIMARY_ADDRESS_SEARCH_INDEX_NOT_LIVE_VERIFIED</t>
        </is>
      </c>
    </row>
    <row r="73" ht="28" customHeight="1">
      <c r="A73" t="inlineStr">
        <is>
          <t>INS-PNG-0004</t>
        </is>
      </c>
      <c r="C73" t="inlineStr">
        <is>
          <t>Papua New Guinea University of Natural Resources and Environment</t>
        </is>
      </c>
      <c r="D73" t="inlineStr">
        <is>
          <t>Papua New Guinea University of Natural Resources and Environment</t>
        </is>
      </c>
      <c r="E73" t="inlineStr">
        <is>
          <t>Papua New Guinea</t>
        </is>
      </c>
      <c r="F73" t="inlineStr">
        <is>
          <t>PNG</t>
        </is>
      </c>
      <c r="G73" t="inlineStr">
        <is>
          <t>Vudal</t>
        </is>
      </c>
      <c r="H73" t="inlineStr">
        <is>
          <t>Agricultural University</t>
        </is>
      </c>
      <c r="I73" t="inlineStr">
        <is>
          <t>Public</t>
        </is>
      </c>
      <c r="J73" t="inlineStr">
        <is>
          <t>Active</t>
        </is>
      </c>
      <c r="K73" t="inlineStr">
        <is>
          <t>https://www.unre.ac.pg/</t>
        </is>
      </c>
      <c r="L73" t="inlineStr">
        <is>
          <t>https://apply.dherst.gov.pg/ | https://web.dherst.gov.pg/</t>
        </is>
      </c>
      <c r="M73" t="inlineStr">
        <is>
          <t>city_pg_official_vudal</t>
        </is>
      </c>
      <c r="N73" t="inlineStr">
        <is>
          <t>PG-EBR</t>
        </is>
      </c>
      <c r="O73" t="inlineStr">
        <is>
          <t>SOURCE_MATCHED</t>
        </is>
      </c>
      <c r="P73" t="inlineStr">
        <is>
          <t>USER_RESEARCH_ADDRESS_REQUIRES_OWNER_VERIFICATION</t>
        </is>
      </c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5" customWidth="1" min="4" max="4"/>
    <col width="10" customWidth="1" min="5" max="5"/>
    <col width="13" customWidth="1" min="6" max="6"/>
    <col width="14" customWidth="1" min="7" max="7"/>
    <col width="26" customWidth="1" min="9" max="9"/>
    <col width="16" customWidth="1" min="10" max="10"/>
  </cols>
  <sheetData>
    <row r="1" ht="30" customHeight="1">
      <c r="A1" s="41" t="inlineStr">
        <is>
          <t>Oceania Import Plan — 14 Sovereign States — Complete</t>
        </is>
      </c>
      <c r="B1" s="1" t="n"/>
      <c r="C1" s="1" t="n"/>
      <c r="D1" s="1" t="n"/>
      <c r="E1" s="1" t="n"/>
      <c r="F1" s="1" t="n"/>
      <c r="G1" s="1" t="n"/>
      <c r="I1" s="61" t="inlineStr">
        <is>
          <t>Oceania Summary</t>
        </is>
      </c>
      <c r="J1" s="1" t="n"/>
      <c r="K1" s="1" t="n"/>
    </row>
    <row r="3" ht="28" customHeight="1">
      <c r="A3" s="42" t="inlineStr">
        <is>
          <t>Sequence</t>
        </is>
      </c>
      <c r="B3" s="42" t="inlineStr">
        <is>
          <t>Batch</t>
        </is>
      </c>
      <c r="C3" s="42" t="inlineStr">
        <is>
          <t>Subregion</t>
        </is>
      </c>
      <c r="D3" s="42" t="inlineStr">
        <is>
          <t>Country</t>
        </is>
      </c>
      <c r="E3" s="42" t="inlineStr">
        <is>
          <t>ISO3</t>
        </is>
      </c>
      <c r="F3" s="42" t="inlineStr">
        <is>
          <t>Status</t>
        </is>
      </c>
      <c r="G3" s="42" t="inlineStr">
        <is>
          <t>Institutions</t>
        </is>
      </c>
      <c r="I3" s="20" t="inlineStr">
        <is>
          <t>Metric</t>
        </is>
      </c>
      <c r="J3" s="20" t="inlineStr">
        <is>
          <t>Value</t>
        </is>
      </c>
    </row>
    <row r="4" ht="24" customHeight="1">
      <c r="A4" s="48" t="n">
        <v>1</v>
      </c>
      <c r="B4" s="48" t="n">
        <v>1</v>
      </c>
      <c r="C4" s="49" t="inlineStr">
        <is>
          <t>Australia and New Zealand</t>
        </is>
      </c>
      <c r="D4" s="49" t="inlineStr">
        <is>
          <t>Australia</t>
        </is>
      </c>
      <c r="E4" s="48" t="inlineStr">
        <is>
          <t>AUS</t>
        </is>
      </c>
      <c r="F4" s="48" t="inlineStr">
        <is>
          <t>Imported</t>
        </is>
      </c>
      <c r="G4" s="48" t="n">
        <v>42</v>
      </c>
      <c r="I4" s="62" t="inlineStr">
        <is>
          <t>Imported countries</t>
        </is>
      </c>
      <c r="J4" s="66">
        <f>COUNTIF(F4:F17,"Imported")</f>
        <v/>
      </c>
    </row>
    <row r="5" ht="24" customHeight="1">
      <c r="A5" s="48" t="n">
        <v>2</v>
      </c>
      <c r="B5" s="48" t="n">
        <v>1</v>
      </c>
      <c r="C5" s="49" t="inlineStr">
        <is>
          <t>Australia and New Zealand</t>
        </is>
      </c>
      <c r="D5" s="49" t="inlineStr">
        <is>
          <t>New Zealand</t>
        </is>
      </c>
      <c r="E5" s="48" t="inlineStr">
        <is>
          <t>NZL</t>
        </is>
      </c>
      <c r="F5" s="48" t="inlineStr">
        <is>
          <t>Imported</t>
        </is>
      </c>
      <c r="G5" s="48" t="n">
        <v>8</v>
      </c>
      <c r="I5" s="62" t="inlineStr">
        <is>
          <t>Pending countries</t>
        </is>
      </c>
      <c r="J5" s="66">
        <f>COUNTIF(F4:F17,"Pending")</f>
        <v/>
      </c>
    </row>
    <row r="6" ht="24" customHeight="1">
      <c r="A6" s="48" t="n">
        <v>3</v>
      </c>
      <c r="B6" s="48" t="n">
        <v>1</v>
      </c>
      <c r="C6" s="49" t="inlineStr">
        <is>
          <t>Melanesia</t>
        </is>
      </c>
      <c r="D6" s="49" t="inlineStr">
        <is>
          <t>Papua New Guinea</t>
        </is>
      </c>
      <c r="E6" s="48" t="inlineStr">
        <is>
          <t>PNG</t>
        </is>
      </c>
      <c r="F6" s="48" t="inlineStr">
        <is>
          <t>Imported</t>
        </is>
      </c>
      <c r="G6" s="48" t="n">
        <v>10</v>
      </c>
      <c r="I6" s="62" t="inlineStr">
        <is>
          <t>Countries with institutions</t>
        </is>
      </c>
      <c r="J6" s="66">
        <f>COUNTIF(G4:G17,"&gt;0")</f>
        <v/>
      </c>
    </row>
    <row r="7" ht="24" customHeight="1">
      <c r="A7" s="48" t="n">
        <v>4</v>
      </c>
      <c r="B7" s="48" t="n">
        <v>1</v>
      </c>
      <c r="C7" s="49" t="inlineStr">
        <is>
          <t>Melanesia</t>
        </is>
      </c>
      <c r="D7" s="49" t="inlineStr">
        <is>
          <t>Fiji</t>
        </is>
      </c>
      <c r="E7" s="48" t="inlineStr">
        <is>
          <t>FJI</t>
        </is>
      </c>
      <c r="F7" s="48" t="inlineStr">
        <is>
          <t>Imported</t>
        </is>
      </c>
      <c r="G7" s="48" t="n">
        <v>4</v>
      </c>
      <c r="I7" s="62" t="inlineStr">
        <is>
          <t>Imported institutions</t>
        </is>
      </c>
      <c r="J7" s="66">
        <f>COUNTA('Oceania Universities'!A5:A73)</f>
        <v/>
      </c>
    </row>
    <row r="8" ht="24" customHeight="1">
      <c r="A8" s="48" t="n">
        <v>5</v>
      </c>
      <c r="B8" s="48" t="n">
        <v>1</v>
      </c>
      <c r="C8" s="49" t="inlineStr">
        <is>
          <t>Melanesia</t>
        </is>
      </c>
      <c r="D8" s="49" t="inlineStr">
        <is>
          <t>Solomon Islands</t>
        </is>
      </c>
      <c r="E8" s="48" t="inlineStr">
        <is>
          <t>SLB</t>
        </is>
      </c>
      <c r="F8" s="48" t="inlineStr">
        <is>
          <t>Imported</t>
        </is>
      </c>
      <c r="G8" s="48" t="n">
        <v>1</v>
      </c>
    </row>
    <row r="9" ht="24" customHeight="1">
      <c r="A9" s="48" t="n">
        <v>6</v>
      </c>
      <c r="B9" s="48" t="n">
        <v>1</v>
      </c>
      <c r="C9" s="49" t="inlineStr">
        <is>
          <t>Melanesia</t>
        </is>
      </c>
      <c r="D9" s="49" t="inlineStr">
        <is>
          <t>Vanuatu</t>
        </is>
      </c>
      <c r="E9" s="48" t="inlineStr">
        <is>
          <t>VUT</t>
        </is>
      </c>
      <c r="F9" s="48" t="inlineStr">
        <is>
          <t>Imported</t>
        </is>
      </c>
      <c r="G9" s="48" t="n">
        <v>1</v>
      </c>
    </row>
    <row r="10" ht="24" customHeight="1">
      <c r="A10" s="48" t="n">
        <v>7</v>
      </c>
      <c r="B10" s="48" t="n">
        <v>1</v>
      </c>
      <c r="C10" s="49" t="inlineStr">
        <is>
          <t>Polynesia</t>
        </is>
      </c>
      <c r="D10" s="49" t="inlineStr">
        <is>
          <t>Samoa</t>
        </is>
      </c>
      <c r="E10" s="48" t="inlineStr">
        <is>
          <t>WSM</t>
        </is>
      </c>
      <c r="F10" s="48" t="inlineStr">
        <is>
          <t>Imported</t>
        </is>
      </c>
      <c r="G10" s="48" t="n">
        <v>2</v>
      </c>
      <c r="I10" s="20" t="inlineStr">
        <is>
          <t>Country</t>
        </is>
      </c>
      <c r="J10" s="20" t="inlineStr">
        <is>
          <t>Institutions</t>
        </is>
      </c>
    </row>
    <row r="11" ht="24" customHeight="1">
      <c r="A11" s="48" t="n">
        <v>8</v>
      </c>
      <c r="B11" s="48" t="n">
        <v>1</v>
      </c>
      <c r="C11" s="49" t="inlineStr">
        <is>
          <t>Polynesia</t>
        </is>
      </c>
      <c r="D11" s="49" t="inlineStr">
        <is>
          <t>Tonga</t>
        </is>
      </c>
      <c r="E11" s="48" t="inlineStr">
        <is>
          <t>TON</t>
        </is>
      </c>
      <c r="F11" s="48" t="inlineStr">
        <is>
          <t>Imported</t>
        </is>
      </c>
      <c r="G11" s="48" t="n">
        <v>1</v>
      </c>
      <c r="I11" s="28" t="inlineStr">
        <is>
          <t>Australia</t>
        </is>
      </c>
      <c r="J11" s="28" t="n">
        <v>42</v>
      </c>
    </row>
    <row r="12" ht="24" customHeight="1">
      <c r="A12" s="52" t="n">
        <v>9</v>
      </c>
      <c r="B12" s="52" t="n">
        <v>1</v>
      </c>
      <c r="C12" s="53" t="inlineStr">
        <is>
          <t>Micronesia</t>
        </is>
      </c>
      <c r="D12" s="53" t="inlineStr">
        <is>
          <t>Kiribati</t>
        </is>
      </c>
      <c r="E12" s="52" t="inlineStr">
        <is>
          <t>KIR</t>
        </is>
      </c>
      <c r="F12" s="52" t="inlineStr">
        <is>
          <t>Imported</t>
        </is>
      </c>
      <c r="G12" s="52" t="n">
        <v>0</v>
      </c>
      <c r="I12" s="28" t="inlineStr">
        <is>
          <t>New Zealand</t>
        </is>
      </c>
      <c r="J12" s="28" t="n">
        <v>8</v>
      </c>
    </row>
    <row r="13" ht="24" customHeight="1">
      <c r="A13" s="52" t="n">
        <v>10</v>
      </c>
      <c r="B13" s="52" t="n">
        <v>1</v>
      </c>
      <c r="C13" s="53" t="inlineStr">
        <is>
          <t>Micronesia</t>
        </is>
      </c>
      <c r="D13" s="53" t="inlineStr">
        <is>
          <t>Marshall Islands</t>
        </is>
      </c>
      <c r="E13" s="52" t="inlineStr">
        <is>
          <t>MHL</t>
        </is>
      </c>
      <c r="F13" s="52" t="inlineStr">
        <is>
          <t>Imported</t>
        </is>
      </c>
      <c r="G13" s="52" t="n">
        <v>0</v>
      </c>
      <c r="I13" s="28" t="inlineStr">
        <is>
          <t>Papua New Guinea</t>
        </is>
      </c>
      <c r="J13" s="28" t="n">
        <v>10</v>
      </c>
    </row>
    <row r="14" ht="24" customHeight="1">
      <c r="A14" s="52" t="n">
        <v>11</v>
      </c>
      <c r="B14" s="52" t="n">
        <v>1</v>
      </c>
      <c r="C14" s="53" t="inlineStr">
        <is>
          <t>Micronesia</t>
        </is>
      </c>
      <c r="D14" s="53" t="inlineStr">
        <is>
          <t>Micronesia</t>
        </is>
      </c>
      <c r="E14" s="52" t="inlineStr">
        <is>
          <t>FSM</t>
        </is>
      </c>
      <c r="F14" s="52" t="inlineStr">
        <is>
          <t>Imported</t>
        </is>
      </c>
      <c r="G14" s="52" t="n">
        <v>0</v>
      </c>
      <c r="I14" s="28" t="inlineStr">
        <is>
          <t>Fiji</t>
        </is>
      </c>
      <c r="J14" s="28" t="n">
        <v>4</v>
      </c>
    </row>
    <row r="15" ht="24" customHeight="1">
      <c r="A15" s="52" t="n">
        <v>12</v>
      </c>
      <c r="B15" s="52" t="n">
        <v>1</v>
      </c>
      <c r="C15" s="53" t="inlineStr">
        <is>
          <t>Micronesia</t>
        </is>
      </c>
      <c r="D15" s="53" t="inlineStr">
        <is>
          <t>Nauru</t>
        </is>
      </c>
      <c r="E15" s="52" t="inlineStr">
        <is>
          <t>NRU</t>
        </is>
      </c>
      <c r="F15" s="52" t="inlineStr">
        <is>
          <t>Imported</t>
        </is>
      </c>
      <c r="G15" s="52" t="n">
        <v>0</v>
      </c>
      <c r="I15" s="28" t="inlineStr">
        <is>
          <t>Solomon Islands</t>
        </is>
      </c>
      <c r="J15" s="28" t="n">
        <v>1</v>
      </c>
    </row>
    <row r="16" ht="24" customHeight="1">
      <c r="A16" s="52" t="n">
        <v>13</v>
      </c>
      <c r="B16" s="52" t="n">
        <v>1</v>
      </c>
      <c r="C16" s="53" t="inlineStr">
        <is>
          <t>Micronesia</t>
        </is>
      </c>
      <c r="D16" s="53" t="inlineStr">
        <is>
          <t>Palau</t>
        </is>
      </c>
      <c r="E16" s="52" t="inlineStr">
        <is>
          <t>PLW</t>
        </is>
      </c>
      <c r="F16" s="52" t="inlineStr">
        <is>
          <t>Imported</t>
        </is>
      </c>
      <c r="G16" s="52" t="n">
        <v>0</v>
      </c>
      <c r="I16" s="28" t="inlineStr">
        <is>
          <t>Vanuatu</t>
        </is>
      </c>
      <c r="J16" s="28" t="n">
        <v>1</v>
      </c>
    </row>
    <row r="17" ht="24" customHeight="1">
      <c r="A17" s="52" t="n">
        <v>14</v>
      </c>
      <c r="B17" s="52" t="n">
        <v>1</v>
      </c>
      <c r="C17" s="53" t="inlineStr">
        <is>
          <t>Polynesia</t>
        </is>
      </c>
      <c r="D17" s="53" t="inlineStr">
        <is>
          <t>Tuvalu</t>
        </is>
      </c>
      <c r="E17" s="52" t="inlineStr">
        <is>
          <t>TUV</t>
        </is>
      </c>
      <c r="F17" s="52" t="inlineStr">
        <is>
          <t>Imported</t>
        </is>
      </c>
      <c r="G17" s="52" t="n">
        <v>0</v>
      </c>
      <c r="I17" s="28" t="inlineStr">
        <is>
          <t>Samoa</t>
        </is>
      </c>
      <c r="J17" s="28" t="n">
        <v>2</v>
      </c>
    </row>
    <row r="18">
      <c r="I18" s="28" t="inlineStr">
        <is>
          <t>Tonga</t>
        </is>
      </c>
      <c r="J18" s="28" t="n">
        <v>1</v>
      </c>
    </row>
    <row r="19">
      <c r="I19" s="28" t="inlineStr">
        <is>
          <t>Kiribati</t>
        </is>
      </c>
      <c r="J19" s="28" t="n">
        <v>0</v>
      </c>
    </row>
    <row r="20">
      <c r="I20" s="28" t="inlineStr">
        <is>
          <t>Marshall Islands</t>
        </is>
      </c>
      <c r="J20" s="28" t="n">
        <v>0</v>
      </c>
    </row>
    <row r="21">
      <c r="I21" s="28" t="inlineStr">
        <is>
          <t>Micronesia</t>
        </is>
      </c>
      <c r="J21" s="28" t="n">
        <v>0</v>
      </c>
    </row>
    <row r="22">
      <c r="I22" s="28" t="inlineStr">
        <is>
          <t>Nauru</t>
        </is>
      </c>
      <c r="J22" s="28" t="n">
        <v>0</v>
      </c>
    </row>
    <row r="23">
      <c r="I23" s="28" t="inlineStr">
        <is>
          <t>Palau</t>
        </is>
      </c>
      <c r="J23" s="28" t="n">
        <v>0</v>
      </c>
    </row>
    <row r="24">
      <c r="I24" s="28" t="inlineStr">
        <is>
          <t>Tuvalu</t>
        </is>
      </c>
      <c r="J24" s="28" t="n">
        <v>0</v>
      </c>
    </row>
  </sheetData>
  <mergeCells count="2">
    <mergeCell ref="A1:G1"/>
    <mergeCell ref="I1:K1"/>
  </mergeCells>
  <dataValidations count="1">
    <dataValidation sqref="F4:F17" showDropDown="0" showInputMessage="0" showErrorMessage="0" allowBlank="0" type="list">
      <formula1>"Imported,Pending"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52" customWidth="1" min="4" max="4"/>
    <col width="50" customWidth="1" min="5" max="5"/>
    <col width="50" customWidth="1" min="6" max="6"/>
  </cols>
  <sheetData>
    <row r="1" ht="30" customHeight="1">
      <c r="A1" s="41" t="inlineStr">
        <is>
          <t>Oceania — Complete Coverage and Source Notes</t>
        </is>
      </c>
      <c r="B1" s="1" t="n"/>
      <c r="C1" s="1" t="n"/>
      <c r="D1" s="1" t="n"/>
      <c r="E1" s="1" t="n"/>
      <c r="F1" s="1" t="n"/>
    </row>
    <row r="3" ht="30" customHeight="1">
      <c r="A3" s="42" t="inlineStr">
        <is>
          <t>Country</t>
        </is>
      </c>
      <c r="B3" s="42" t="inlineStr">
        <is>
          <t>Imported</t>
        </is>
      </c>
      <c r="C3" s="42" t="inlineStr">
        <is>
          <t>Reference Universe</t>
        </is>
      </c>
      <c r="D3" s="42" t="inlineStr">
        <is>
          <t>Applied Scope</t>
        </is>
      </c>
      <c r="E3" s="42" t="inlineStr">
        <is>
          <t>Primary Source</t>
        </is>
      </c>
      <c r="F3" s="42" t="inlineStr">
        <is>
          <t>Quality Note</t>
        </is>
      </c>
    </row>
    <row r="4" ht="96" customHeight="1">
      <c r="A4" s="72" t="inlineStr">
        <is>
          <t>Australia</t>
        </is>
      </c>
      <c r="B4" s="76" t="n">
        <v>42</v>
      </c>
      <c r="C4" s="70" t="inlineStr">
        <is>
          <t>TEQSA National Register and the current Universities Australia profile list after Adelaide University commenced in 2026</t>
        </is>
      </c>
      <c r="D4" s="70" t="inlineStr">
        <is>
          <t>All registered Australian University-category entities: 38 Universities Australia institutions plus Avondale University, Torrens University Australia, University of Divinity and Australian University of Theology; foreign branches and non-university higher-education providers excluded</t>
        </is>
      </c>
      <c r="E4" s="70" t="inlineStr">
        <is>
          <t>https://www.teqsa.gov.au/national-register | https://universitiesaustralia.edu.au/our-universities/university-profiles/</t>
        </is>
      </c>
      <c r="F4" s="70" t="inlineStr">
        <is>
          <t>The University of Adelaide and University of South Australia are not duplicated because Adelaide University commenced as their merged successor on 1 January 2026.</t>
        </is>
      </c>
    </row>
    <row r="5" ht="96" customHeight="1">
      <c r="A5" s="72" t="inlineStr">
        <is>
          <t>New Zealand</t>
        </is>
      </c>
      <c r="B5" s="76" t="n">
        <v>8</v>
      </c>
      <c r="C5" s="70" t="inlineStr">
        <is>
          <t>Universities New Zealand official eight-university system</t>
        </is>
      </c>
      <c r="D5" s="70" t="inlineStr">
        <is>
          <t>All eight statutory universities; institutes of technology, polytechnics, wānanga and private training establishments excluded</t>
        </is>
      </c>
      <c r="E5" s="70" t="inlineStr">
        <is>
          <t>https://www.universitiesnz.ac.nz/universities</t>
        </is>
      </c>
      <c r="F5" s="70" t="inlineStr">
        <is>
          <t>All eight universities are public and are recorded once at parent-institution level.</t>
        </is>
      </c>
    </row>
    <row r="6" ht="96" customHeight="1">
      <c r="A6" s="72" t="inlineStr">
        <is>
          <t>Papua New Guinea</t>
        </is>
      </c>
      <c r="B6" s="76" t="n">
        <v>10</v>
      </c>
      <c r="C6" s="70" t="inlineStr">
        <is>
          <t>DHERST national admissions/recognized-HEI framework plus current operating evidence from the university entities</t>
        </is>
      </c>
      <c r="D6" s="70" t="inlineStr">
        <is>
          <t>Ten active independent universities, including the newer Western Pacific, Innovative University of Enga and Lutheran University; colleges, seminaries, nursing/teacher colleges and campuses excluded</t>
        </is>
      </c>
      <c r="E6" s="70" t="inlineStr">
        <is>
          <t>https://apply.dherst.gov.pg/ | https://web.dherst.gov.pg/</t>
        </is>
      </c>
      <c r="F6" s="70" t="inlineStr">
        <is>
          <t>The list preserves one parent record per university. Constituent colleges merged into Lutheran University are not repeated.</t>
        </is>
      </c>
    </row>
    <row r="7" ht="96" customHeight="1">
      <c r="A7" s="72" t="inlineStr">
        <is>
          <t>Fiji</t>
        </is>
      </c>
      <c r="B7" s="76" t="n">
        <v>4</v>
      </c>
      <c r="C7" s="70" t="inlineStr">
        <is>
          <t>Higher Education Commission Fiji registered-HEI list</t>
        </is>
      </c>
      <c r="D7" s="70" t="inlineStr">
        <is>
          <t>Three registered universities plus the substantial registered Fulton Adventist University College; vocational, theological and ordinary technical providers excluded</t>
        </is>
      </c>
      <c r="E7" s="70" t="inlineStr">
        <is>
          <t>https://hec.org.fj/registered-heis/ | https://www.usp.ac.fj/why-usp/</t>
        </is>
      </c>
      <c r="F7" s="70" t="inlineStr">
        <is>
          <t>The University of the South Pacific is recorded here once because its main Laucala campus and institutional headquarters are in Fiji.</t>
        </is>
      </c>
    </row>
    <row r="8" ht="96" customHeight="1">
      <c r="A8" s="72" t="inlineStr">
        <is>
          <t>Solomon Islands</t>
        </is>
      </c>
      <c r="B8" s="76" t="n">
        <v>1</v>
      </c>
      <c r="C8" s="70" t="inlineStr">
        <is>
          <t>Solomon Islands National University current institutional record</t>
        </is>
      </c>
      <c r="D8" s="70" t="inlineStr">
        <is>
          <t>Independent national university only; USP Solomon Islands is a dependent campus and colleges/TVET providers are excluded</t>
        </is>
      </c>
      <c r="E8" s="70" t="inlineStr">
        <is>
          <t>https://www.sinu.edu.sb/ | https://www.usp.ac.fj/why-usp/</t>
        </is>
      </c>
      <c r="F8" s="70" t="inlineStr">
        <is>
          <t>SINU is the country's sole independent university under the strict scope.</t>
        </is>
      </c>
    </row>
    <row r="9" ht="96" customHeight="1">
      <c r="A9" s="72" t="inlineStr">
        <is>
          <t>Vanuatu</t>
        </is>
      </c>
      <c r="B9" s="76" t="n">
        <v>1</v>
      </c>
      <c r="C9" s="70" t="inlineStr">
        <is>
          <t>National University of Vanuatu current 2026 institutional and programme record</t>
        </is>
      </c>
      <c r="D9" s="70" t="inlineStr">
        <is>
          <t>Independent national university only; USP Emalus is a dependent regional campus and other post-school providers are excluded</t>
        </is>
      </c>
      <c r="E9" s="70" t="inlineStr">
        <is>
          <t>https://www.univ.edu.vu/ | https://www.usp.ac.fj/why-usp/</t>
        </is>
      </c>
      <c r="F9" s="70" t="inlineStr">
        <is>
          <t>NUV is active in 2026 and delivers bachelor’s and postgraduate programmes.</t>
        </is>
      </c>
    </row>
    <row r="10" ht="96" customHeight="1">
      <c r="A10" s="72" t="inlineStr">
        <is>
          <t>Samoa</t>
        </is>
      </c>
      <c r="B10" s="76" t="n">
        <v>2</v>
      </c>
      <c r="C10" s="70" t="inlineStr">
        <is>
          <t>National University of Samoa and the gazetted/accredited Oceania University of Medicine</t>
        </is>
      </c>
      <c r="D10" s="70" t="inlineStr">
        <is>
          <t>Two independent universities; USP Alafua is a dependent regional campus and theological colleges are excluded</t>
        </is>
      </c>
      <c r="E10" s="70" t="inlineStr">
        <is>
          <t>https://nus.edu.ws/ | https://oum.edu.ws/about-oum/accreditation/</t>
        </is>
      </c>
      <c r="F10" s="70" t="inlineStr">
        <is>
          <t>OUM's institutional medical accreditation was renewed in 2025 through May 2030.</t>
        </is>
      </c>
    </row>
    <row r="11" ht="96" customHeight="1">
      <c r="A11" s="72" t="inlineStr">
        <is>
          <t>Tonga</t>
        </is>
      </c>
      <c r="B11" s="76" t="n">
        <v>1</v>
      </c>
      <c r="C11" s="70" t="inlineStr">
        <is>
          <t>Tonga National University Act and current TNU operations</t>
        </is>
      </c>
      <c r="D11" s="70" t="inlineStr">
        <is>
          <t>Tonga National University only; USP Tonga is a dependent regional campus, and small theological/agricultural/private tertiary providers are excluded</t>
        </is>
      </c>
      <c r="E11" s="70" t="inlineStr">
        <is>
          <t>https://www.tnu.edu.to/ | https://ago.gov.to/cms/images/LEGISLATION/PRINCIPAL/2021/2021-0202/TongaNationalUniversityAct2021_1.pdf</t>
        </is>
      </c>
      <c r="F11" s="70" t="inlineStr">
        <is>
          <t>TNU opened in 2023 by consolidating government post-secondary institutions and currently delivers degree and postgraduate awards.</t>
        </is>
      </c>
    </row>
    <row r="12" ht="96" customHeight="1">
      <c r="A12" s="78" t="inlineStr">
        <is>
          <t>Kiribati</t>
        </is>
      </c>
      <c r="B12" s="79" t="n">
        <v>0</v>
      </c>
      <c r="C12" s="78" t="inlineStr">
        <is>
          <t>National post-secondary structure and USP member-country campus network</t>
        </is>
      </c>
      <c r="D12" s="78" t="inlineStr">
        <is>
          <t>No independent university-level parent entity; USP Kiribati is a branch of the single regional university recorded in Fiji, while teacher and technical colleges are outside scope</t>
        </is>
      </c>
      <c r="E12" s="78" t="inlineStr">
        <is>
          <t>https://www.usp.ac.fj/why-usp/</t>
        </is>
      </c>
      <c r="F12" s="78" t="inlineStr">
        <is>
          <t>Country marked complete with zero imported institutions.</t>
        </is>
      </c>
    </row>
    <row r="13" ht="96" customHeight="1">
      <c r="A13" s="78" t="inlineStr">
        <is>
          <t>Marshall Islands</t>
        </is>
      </c>
      <c r="B13" s="79" t="n">
        <v>0</v>
      </c>
      <c r="C13" s="78" t="inlineStr">
        <is>
          <t>College of the Marshall Islands and USP member-country campus network</t>
        </is>
      </c>
      <c r="D13" s="78" t="inlineStr">
        <is>
          <t>No independent university; the national provider is an ordinary college and USP Marshall Islands is a dependent branch</t>
        </is>
      </c>
      <c r="E13" s="78" t="inlineStr">
        <is>
          <t>https://www.cmi.edu/ | https://www.usp.ac.fj/why-usp/</t>
        </is>
      </c>
      <c r="F13" s="78" t="inlineStr">
        <is>
          <t>Country marked complete with zero imported institutions under the university-only rule.</t>
        </is>
      </c>
    </row>
    <row r="14" ht="96" customHeight="1">
      <c r="A14" s="78" t="inlineStr">
        <is>
          <t>Micronesia</t>
        </is>
      </c>
      <c r="B14" s="79" t="n">
        <v>0</v>
      </c>
      <c r="C14" s="78" t="inlineStr">
        <is>
          <t>College of Micronesia-FSM national system</t>
        </is>
      </c>
      <c r="D14" s="78" t="inlineStr">
        <is>
          <t>No independent university; College of Micronesia-FSM is excluded as an ordinary college under the project scope</t>
        </is>
      </c>
      <c r="E14" s="78" t="inlineStr">
        <is>
          <t>https://www.comfsm.fm/</t>
        </is>
      </c>
      <c r="F14" s="78" t="inlineStr">
        <is>
          <t>Country marked complete with zero imported institutions.</t>
        </is>
      </c>
    </row>
    <row r="15" ht="96" customHeight="1">
      <c r="A15" s="78" t="inlineStr">
        <is>
          <t>Nauru</t>
        </is>
      </c>
      <c r="B15" s="79" t="n">
        <v>0</v>
      </c>
      <c r="C15" s="78" t="inlineStr">
        <is>
          <t>USP member-country campus network and national post-secondary context</t>
        </is>
      </c>
      <c r="D15" s="78" t="inlineStr">
        <is>
          <t>No independent university-level parent entity; the USP Nauru campus is a dependent branch of the university recorded in Fiji</t>
        </is>
      </c>
      <c r="E15" s="78" t="inlineStr">
        <is>
          <t>https://www.usp.ac.fj/why-usp/</t>
        </is>
      </c>
      <c r="F15" s="78" t="inlineStr">
        <is>
          <t>Country marked complete with zero imported institutions.</t>
        </is>
      </c>
    </row>
    <row r="16" ht="96" customHeight="1">
      <c r="A16" s="78" t="inlineStr">
        <is>
          <t>Palau</t>
        </is>
      </c>
      <c r="B16" s="79" t="n">
        <v>0</v>
      </c>
      <c r="C16" s="78" t="inlineStr">
        <is>
          <t>Palau Community College national higher-education structure</t>
        </is>
      </c>
      <c r="D16" s="78" t="inlineStr">
        <is>
          <t>No independent university; Palau Community College is excluded as an ordinary community college</t>
        </is>
      </c>
      <c r="E16" s="78" t="inlineStr">
        <is>
          <t>https://pcc.palau.edu/</t>
        </is>
      </c>
      <c r="F16" s="78" t="inlineStr">
        <is>
          <t>Country marked complete with zero imported institutions.</t>
        </is>
      </c>
    </row>
    <row r="17" ht="96" customHeight="1">
      <c r="A17" s="78" t="inlineStr">
        <is>
          <t>Tuvalu</t>
        </is>
      </c>
      <c r="B17" s="79" t="n">
        <v>0</v>
      </c>
      <c r="C17" s="78" t="inlineStr">
        <is>
          <t>USP member-country campus network and national post-secondary context</t>
        </is>
      </c>
      <c r="D17" s="78" t="inlineStr">
        <is>
          <t>No independent university-level parent entity; USP Tuvalu is a dependent branch of the regional university recorded in Fiji</t>
        </is>
      </c>
      <c r="E17" s="78" t="inlineStr">
        <is>
          <t>https://www.usp.ac.fj/why-usp/</t>
        </is>
      </c>
      <c r="F17" s="78" t="inlineStr">
        <is>
          <t>Country marked complete with zero imported institutions.</t>
        </is>
      </c>
    </row>
    <row r="19" ht="55" customHeight="1">
      <c r="A19" s="87" t="inlineStr">
        <is>
          <t>Methodology: MANARATAK imports independent degree-granting university entities, not every postsecondary provider. Ordinary colleges, community colleges, constituent colleges, dependent campuses, short-cycle schools, system offices, closed institutions and weak college-like providers are excluded. The University of the South Pacific is a single regional university and is recorded once in Fiji rather than repeated across its member-country campuses.</t>
        </is>
      </c>
      <c r="B19" s="1" t="n"/>
      <c r="C19" s="1" t="n"/>
      <c r="D19" s="1" t="n"/>
      <c r="E19" s="1" t="n"/>
      <c r="F19" s="1" t="n"/>
    </row>
  </sheetData>
  <mergeCells count="2">
    <mergeCell ref="A19:F19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National Code</t>
        </is>
      </c>
      <c r="C1" t="inlineStr">
        <is>
          <t>Official English Name</t>
        </is>
      </c>
      <c r="D1" t="inlineStr">
        <is>
          <t>Local Name</t>
        </is>
      </c>
      <c r="E1" t="inlineStr">
        <is>
          <t>Country</t>
        </is>
      </c>
      <c r="F1" t="inlineStr">
        <is>
          <t>ISO3</t>
        </is>
      </c>
      <c r="G1" t="inlineStr">
        <is>
          <t>City</t>
        </is>
      </c>
      <c r="H1" t="inlineStr">
        <is>
          <t>Institution Type</t>
        </is>
      </c>
      <c r="I1" t="inlineStr">
        <is>
          <t>Ownership</t>
        </is>
      </c>
      <c r="J1" t="inlineStr">
        <is>
          <t>Status</t>
        </is>
      </c>
      <c r="K1" t="inlineStr">
        <is>
          <t>Official Website</t>
        </is>
      </c>
      <c r="L1" t="inlineStr">
        <is>
          <t>Official Source</t>
        </is>
      </c>
      <c r="M1" t="inlineStr">
        <is>
          <t>City Source ID</t>
        </is>
      </c>
      <c r="N1" t="inlineStr">
        <is>
          <t>City Region Code</t>
        </is>
      </c>
      <c r="O1" t="inlineStr">
        <is>
          <t>Geography Status</t>
        </is>
      </c>
      <c r="P1" t="inlineStr">
        <is>
          <t>Geography Review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2026-10-13T15:14:43Z</dcterms:created>
  <dcterms:modified xmlns:dcterms="http://purl.org/dc/terms/" xmlns:xsi="http://www.w3.org/2001/XMLSchema-instance" xsi:type="dcterms:W3CDTF">2026-10-14T21:01:21Z</dcterms:modified>
</cp:coreProperties>
</file>